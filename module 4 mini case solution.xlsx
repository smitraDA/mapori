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Dropbox\Teaching\0.1 M&amp;A 2026 term 2\module 4 DCF II\"/>
    </mc:Choice>
  </mc:AlternateContent>
  <xr:revisionPtr revIDLastSave="0" documentId="13_ncr:1_{E7CBAD4B-FCD0-4B50-8542-E82FE6E256DA}" xr6:coauthVersionLast="47" xr6:coauthVersionMax="47" xr10:uidLastSave="{00000000-0000-0000-0000-000000000000}"/>
  <bookViews>
    <workbookView xWindow="30612" yWindow="-108" windowWidth="30936" windowHeight="16776" activeTab="2" xr2:uid="{00000000-000D-0000-FFFF-FFFF00000000}"/>
  </bookViews>
  <sheets>
    <sheet name="mini case A WACC" sheetId="21" r:id="rId1"/>
    <sheet name="mini case A cash flows" sheetId="24" r:id="rId2"/>
    <sheet name="mini case B" sheetId="25" r:id="rId3"/>
  </sheets>
  <definedNames>
    <definedName name="atc_siz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25" l="1"/>
  <c r="D6" i="25"/>
  <c r="E6" i="25" s="1"/>
  <c r="D5" i="25"/>
  <c r="E5" i="25" s="1"/>
  <c r="D4" i="25"/>
  <c r="E4" i="25" s="1"/>
  <c r="E7" i="25" s="1"/>
  <c r="D19" i="24" l="1"/>
  <c r="D20" i="24" s="1"/>
  <c r="C19" i="24"/>
  <c r="D10" i="24"/>
  <c r="D26" i="24" s="1"/>
  <c r="C10" i="24"/>
  <c r="E26" i="24" l="1"/>
  <c r="F26" i="24" s="1"/>
  <c r="G26" i="24" s="1"/>
  <c r="H26" i="24" s="1"/>
  <c r="H27" i="24" s="1"/>
  <c r="C31" i="24"/>
  <c r="C33" i="24" l="1"/>
  <c r="C36" i="24" s="1"/>
  <c r="E6" i="21" l="1"/>
  <c r="E7" i="21"/>
  <c r="E8" i="21"/>
  <c r="E9" i="21"/>
  <c r="E10" i="21"/>
  <c r="C23" i="21"/>
  <c r="C26" i="21"/>
  <c r="C27" i="21"/>
  <c r="E11" i="21" l="1"/>
  <c r="C24" i="21" s="1"/>
  <c r="D11" i="21"/>
  <c r="C11" i="21"/>
  <c r="C25" i="21" l="1"/>
  <c r="C28" i="21" s="1"/>
</calcChain>
</file>

<file path=xl/sharedStrings.xml><?xml version="1.0" encoding="utf-8"?>
<sst xmlns="http://schemas.openxmlformats.org/spreadsheetml/2006/main" count="106" uniqueCount="90">
  <si>
    <t>Equity</t>
  </si>
  <si>
    <t>Debt/</t>
  </si>
  <si>
    <t>Comparable Companies:</t>
  </si>
  <si>
    <t>Universal Mobile</t>
  </si>
  <si>
    <t>Neuberger Wireless</t>
  </si>
  <si>
    <t>Agile Connections</t>
  </si>
  <si>
    <t>Big Country Communications</t>
  </si>
  <si>
    <t>Rocky Mountain Wireless</t>
  </si>
  <si>
    <t>Average</t>
  </si>
  <si>
    <t>Market Risk Premium</t>
  </si>
  <si>
    <t>Risk-Free Rate</t>
  </si>
  <si>
    <t>WACC</t>
  </si>
  <si>
    <t>D/E</t>
  </si>
  <si>
    <t>Equity beta</t>
  </si>
  <si>
    <t>Cost of equity</t>
  </si>
  <si>
    <r>
      <t>W</t>
    </r>
    <r>
      <rPr>
        <vertAlign val="subscript"/>
        <sz val="12"/>
        <color theme="1"/>
        <rFont val="Times New Roman"/>
        <family val="1"/>
      </rPr>
      <t>D</t>
    </r>
  </si>
  <si>
    <r>
      <rPr>
        <sz val="12"/>
        <color theme="1"/>
        <rFont val="Times New Roman"/>
        <family val="1"/>
      </rPr>
      <t>W</t>
    </r>
    <r>
      <rPr>
        <vertAlign val="subscript"/>
        <sz val="12"/>
        <color theme="1"/>
        <rFont val="Times New Roman"/>
        <family val="1"/>
      </rPr>
      <t>E</t>
    </r>
  </si>
  <si>
    <t xml:space="preserve">Unlevered </t>
  </si>
  <si>
    <t>Beta</t>
  </si>
  <si>
    <t>Tax Rate</t>
  </si>
  <si>
    <t>Comparable Listed Companies</t>
  </si>
  <si>
    <t>The Private Company's Cost of Debt</t>
  </si>
  <si>
    <r>
      <t>The Private Company's long-term W</t>
    </r>
    <r>
      <rPr>
        <vertAlign val="subscript"/>
        <sz val="12"/>
        <color theme="1"/>
        <rFont val="Times New Roman"/>
        <family val="1"/>
      </rPr>
      <t>D</t>
    </r>
  </si>
  <si>
    <t>Question: You are tasked with estimating a private company's WACC. You find five listed comparable companies that have similar business and firm size with the target company. Assume that the private company's unlevered beta is the same as the averaeg unlevered beta of the comparable companies. Estimate the focal private company's WACC.</t>
  </si>
  <si>
    <t>Estiamte the Blue Sky's WACC</t>
  </si>
  <si>
    <t>BlueSky Technologies's information and other inputs</t>
  </si>
  <si>
    <t>Free Cash Flow Calculation</t>
  </si>
  <si>
    <t>Pro Forma =&gt;</t>
  </si>
  <si>
    <t>EBIT</t>
  </si>
  <si>
    <t>Depreciation</t>
  </si>
  <si>
    <r>
      <rPr>
        <sz val="11"/>
        <color theme="1"/>
        <rFont val="Symbol"/>
        <family val="1"/>
        <charset val="2"/>
      </rPr>
      <t>D</t>
    </r>
    <r>
      <rPr>
        <sz val="11"/>
        <color theme="1"/>
        <rFont val="Calibri"/>
        <family val="2"/>
        <scheme val="minor"/>
      </rPr>
      <t xml:space="preserve"> NWC</t>
    </r>
  </si>
  <si>
    <t>Free cash flow to the firm</t>
  </si>
  <si>
    <t>Terminal value</t>
  </si>
  <si>
    <t>Discount rate</t>
  </si>
  <si>
    <t>PV(FCFF + TV)</t>
  </si>
  <si>
    <t>Total Firm Value</t>
  </si>
  <si>
    <t>Estimated Equity Value</t>
  </si>
  <si>
    <t>number of shares (000,000s)</t>
  </si>
  <si>
    <t>&lt;=History</t>
  </si>
  <si>
    <t>Operating Forecasts</t>
  </si>
  <si>
    <t>Net Sales</t>
  </si>
  <si>
    <t>Cost of Goods Sold</t>
  </si>
  <si>
    <t>Marketing Expense</t>
  </si>
  <si>
    <t>Other SG&amp;A</t>
  </si>
  <si>
    <t>Supplementary Schedules</t>
  </si>
  <si>
    <t>Net Working Capital</t>
  </si>
  <si>
    <t>A/R</t>
  </si>
  <si>
    <t>Inventory</t>
  </si>
  <si>
    <t>Other CA</t>
  </si>
  <si>
    <t>A/P</t>
  </si>
  <si>
    <t>Net working capital</t>
  </si>
  <si>
    <t>Capital Expenditures</t>
  </si>
  <si>
    <t>Value per share</t>
  </si>
  <si>
    <t>cash</t>
  </si>
  <si>
    <t>Near term FCFF growth rate (year 1 to year 5)</t>
  </si>
  <si>
    <t>Perpeptual FCFF growth rate (after year 4)</t>
  </si>
  <si>
    <t>Less Year 0 Debt</t>
  </si>
  <si>
    <t>Free Cash Flow Assumptions</t>
  </si>
  <si>
    <t>(all dollar amounts are in 000,000s)</t>
  </si>
  <si>
    <t xml:space="preserve">TechnoVision Inc. </t>
  </si>
  <si>
    <t>"Sum-of-parts" approach</t>
  </si>
  <si>
    <t>Division</t>
  </si>
  <si>
    <t>EBITDA ($mln)</t>
  </si>
  <si>
    <t>Average EV/EBITDA of "pure-play" comparables</t>
  </si>
  <si>
    <t>Division EV ($mln)</t>
  </si>
  <si>
    <t xml:space="preserve">Semi-conductors </t>
  </si>
  <si>
    <t>Telecommunications</t>
  </si>
  <si>
    <t>Data processing</t>
  </si>
  <si>
    <t>Total</t>
  </si>
  <si>
    <r>
      <rPr>
        <b/>
        <i/>
        <sz val="11"/>
        <color theme="1"/>
        <rFont val="Calibri"/>
        <family val="2"/>
        <scheme val="minor"/>
      </rPr>
      <t>Potential</t>
    </r>
    <r>
      <rPr>
        <b/>
        <sz val="11"/>
        <color theme="1"/>
        <rFont val="Calibri"/>
        <family val="2"/>
        <scheme val="minor"/>
      </rPr>
      <t xml:space="preserve"> Comparables</t>
    </r>
  </si>
  <si>
    <t>Type</t>
  </si>
  <si>
    <t>Sector(s)</t>
  </si>
  <si>
    <t>EV/EBITDA</t>
  </si>
  <si>
    <t>Diversity Ltd</t>
  </si>
  <si>
    <t>Multi-sector</t>
  </si>
  <si>
    <t>Food; semi-conductors; financial</t>
  </si>
  <si>
    <t>Nexora</t>
  </si>
  <si>
    <t>Semi-conductors; telecommunications; AI</t>
  </si>
  <si>
    <t>Vertex Semi-conductors</t>
  </si>
  <si>
    <t>Single-sector</t>
  </si>
  <si>
    <t>Semi-conductors</t>
  </si>
  <si>
    <t>Summit Communications Corp</t>
  </si>
  <si>
    <t>BluePeak Technologies</t>
  </si>
  <si>
    <t>Fusion Data Group</t>
  </si>
  <si>
    <t>QuantumX Group</t>
  </si>
  <si>
    <t>Data processing; telecommunications; cloud computing</t>
  </si>
  <si>
    <t>NextGen Materials</t>
  </si>
  <si>
    <t>IronGate Solutions</t>
  </si>
  <si>
    <t>VeltoPay</t>
  </si>
  <si>
    <t>Semi-conductors; telecommunications; data processing; fintech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</si>
</sst>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4" formatCode="_(&quot;$&quot;* #,##0.00_);_(&quot;$&quot;* \(#,##0.00\);_(&quot;$&quot;* &quot;-&quot;??_);_(@_)"/>
    <numFmt numFmtId="43" formatCode="_(* #,##0.00_);_(* \(#,##0.00\);_(* &quot;-&quot;??_);_(@_)"/>
    <numFmt numFmtId="164" formatCode="0.0%"/>
    <numFmt numFmtId="165" formatCode="0.000"/>
    <numFmt numFmtId="166" formatCode="_(* #,##0_);_(* \(#,##0\);_(* &quot;-&quot;??_);_(@_)"/>
  </numFmts>
  <fonts count="21" x14ac:knownFonts="1">
    <font>
      <sz val="11"/>
      <color theme="1"/>
      <name val="Calibri"/>
      <family val="2"/>
      <scheme val="minor"/>
    </font>
    <font>
      <sz val="11"/>
      <color theme="1"/>
      <name val="Calibri"/>
      <family val="2"/>
      <scheme val="minor"/>
    </font>
    <font>
      <sz val="12"/>
      <color theme="1"/>
      <name val="Times New Roman"/>
      <family val="1"/>
    </font>
    <font>
      <b/>
      <sz val="12"/>
      <color theme="1"/>
      <name val="Times New Roman"/>
      <family val="1"/>
    </font>
    <font>
      <u/>
      <sz val="12"/>
      <color theme="1"/>
      <name val="Times New Roman"/>
      <family val="1"/>
    </font>
    <font>
      <sz val="12"/>
      <color theme="1"/>
      <name val="Calibri"/>
      <family val="2"/>
      <scheme val="minor"/>
    </font>
    <font>
      <i/>
      <u/>
      <sz val="12"/>
      <color theme="1"/>
      <name val="Times New Roman"/>
      <family val="1"/>
    </font>
    <font>
      <sz val="11"/>
      <color theme="1"/>
      <name val="Arial Narrow"/>
      <family val="2"/>
    </font>
    <font>
      <sz val="12"/>
      <color rgb="FF0000FF"/>
      <name val="Times New Roman"/>
      <family val="1"/>
    </font>
    <font>
      <vertAlign val="subscript"/>
      <sz val="12"/>
      <color theme="1"/>
      <name val="Times New Roman"/>
      <family val="1"/>
    </font>
    <font>
      <b/>
      <sz val="11"/>
      <color theme="1"/>
      <name val="Calibri"/>
      <family val="2"/>
      <scheme val="minor"/>
    </font>
    <font>
      <b/>
      <i/>
      <sz val="11"/>
      <color theme="1"/>
      <name val="Calibri"/>
      <family val="2"/>
      <scheme val="minor"/>
    </font>
    <font>
      <b/>
      <sz val="11"/>
      <color rgb="FF0066FF"/>
      <name val="Calibri"/>
      <family val="2"/>
      <scheme val="minor"/>
    </font>
    <font>
      <sz val="11"/>
      <color theme="1"/>
      <name val="Symbol"/>
      <family val="1"/>
      <charset val="2"/>
    </font>
    <font>
      <sz val="16"/>
      <color theme="1"/>
      <name val="Calibri"/>
      <family val="2"/>
      <scheme val="minor"/>
    </font>
    <font>
      <b/>
      <sz val="10"/>
      <name val="Arial"/>
      <family val="2"/>
    </font>
    <font>
      <b/>
      <sz val="10"/>
      <color indexed="12"/>
      <name val="Arial"/>
      <family val="2"/>
    </font>
    <font>
      <sz val="10"/>
      <color indexed="48"/>
      <name val="Arial"/>
      <family val="2"/>
    </font>
    <font>
      <i/>
      <sz val="11"/>
      <color theme="1"/>
      <name val="Calibri"/>
      <family val="2"/>
      <scheme val="minor"/>
    </font>
    <font>
      <sz val="10"/>
      <name val="Arial"/>
      <family val="2"/>
    </font>
    <font>
      <sz val="11"/>
      <color rgb="FF000000"/>
      <name val="Calibri"/>
      <family val="2"/>
    </font>
  </fonts>
  <fills count="6">
    <fill>
      <patternFill patternType="none"/>
    </fill>
    <fill>
      <patternFill patternType="gray125"/>
    </fill>
    <fill>
      <patternFill patternType="solid">
        <fgColor rgb="FFFFFF99"/>
        <bgColor indexed="64"/>
      </patternFill>
    </fill>
    <fill>
      <patternFill patternType="solid">
        <fgColor theme="6" tint="0.79998168889431442"/>
        <bgColor indexed="64"/>
      </patternFill>
    </fill>
    <fill>
      <patternFill patternType="solid">
        <fgColor rgb="FFFFFF00"/>
        <bgColor indexed="64"/>
      </patternFill>
    </fill>
    <fill>
      <patternFill patternType="solid">
        <fgColor theme="2"/>
        <bgColor indexed="64"/>
      </patternFill>
    </fill>
  </fills>
  <borders count="20">
    <border>
      <left/>
      <right/>
      <top/>
      <bottom/>
      <diagonal/>
    </border>
    <border>
      <left/>
      <right/>
      <top/>
      <bottom style="thin">
        <color indexed="64"/>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diagonal/>
    </border>
    <border>
      <left/>
      <right style="medium">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bottom style="thin">
        <color auto="1"/>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right style="thin">
        <color indexed="64"/>
      </right>
      <top style="thin">
        <color indexed="64"/>
      </top>
      <bottom/>
      <diagonal/>
    </border>
    <border>
      <left/>
      <right style="thin">
        <color indexed="64"/>
      </right>
      <top/>
      <bottom/>
      <diagonal/>
    </border>
  </borders>
  <cellStyleXfs count="6">
    <xf numFmtId="0" fontId="0" fillId="0" borderId="0"/>
    <xf numFmtId="43" fontId="7"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9" fillId="0" borderId="0" applyFont="0" applyFill="0" applyBorder="0" applyAlignment="0" applyProtection="0"/>
  </cellStyleXfs>
  <cellXfs count="83">
    <xf numFmtId="0" fontId="0" fillId="0" borderId="0" xfId="0"/>
    <xf numFmtId="0" fontId="2" fillId="0" borderId="0" xfId="0" applyFont="1"/>
    <xf numFmtId="37" fontId="2" fillId="0" borderId="6" xfId="0" applyNumberFormat="1" applyFont="1" applyBorder="1"/>
    <xf numFmtId="9" fontId="3" fillId="2" borderId="2" xfId="2" applyFont="1" applyFill="1" applyBorder="1" applyAlignment="1">
      <alignment horizontal="center"/>
    </xf>
    <xf numFmtId="9" fontId="3" fillId="2" borderId="1" xfId="2" applyFont="1" applyFill="1" applyBorder="1" applyAlignment="1">
      <alignment horizontal="center"/>
    </xf>
    <xf numFmtId="9" fontId="2" fillId="0" borderId="6" xfId="2" applyFont="1" applyBorder="1"/>
    <xf numFmtId="9" fontId="6" fillId="0" borderId="6" xfId="2" applyFont="1" applyBorder="1"/>
    <xf numFmtId="10" fontId="2" fillId="0" borderId="0" xfId="0" applyNumberFormat="1" applyFont="1"/>
    <xf numFmtId="0" fontId="2" fillId="0" borderId="6" xfId="0" applyFont="1" applyBorder="1"/>
    <xf numFmtId="0" fontId="5" fillId="0" borderId="0" xfId="0" applyFont="1"/>
    <xf numFmtId="164" fontId="2" fillId="0" borderId="7" xfId="0" applyNumberFormat="1" applyFont="1" applyBorder="1"/>
    <xf numFmtId="165" fontId="2" fillId="0" borderId="7" xfId="0" applyNumberFormat="1" applyFont="1" applyBorder="1"/>
    <xf numFmtId="10" fontId="2" fillId="0" borderId="7" xfId="0" applyNumberFormat="1" applyFont="1" applyBorder="1"/>
    <xf numFmtId="0" fontId="9" fillId="0" borderId="6" xfId="0" applyFont="1" applyBorder="1"/>
    <xf numFmtId="0" fontId="2" fillId="0" borderId="8" xfId="0" applyFont="1" applyBorder="1"/>
    <xf numFmtId="0" fontId="2" fillId="0" borderId="9" xfId="0" applyFont="1" applyBorder="1"/>
    <xf numFmtId="10" fontId="2" fillId="0" borderId="10" xfId="0" applyNumberFormat="1" applyFont="1" applyBorder="1"/>
    <xf numFmtId="0" fontId="10" fillId="0" borderId="0" xfId="0" applyFont="1"/>
    <xf numFmtId="37" fontId="2" fillId="0" borderId="0" xfId="0" applyNumberFormat="1" applyFont="1"/>
    <xf numFmtId="9" fontId="2" fillId="0" borderId="0" xfId="2" applyFont="1" applyBorder="1"/>
    <xf numFmtId="9" fontId="3" fillId="2" borderId="11" xfId="2" applyFont="1" applyFill="1" applyBorder="1" applyAlignment="1">
      <alignment horizontal="center"/>
    </xf>
    <xf numFmtId="9" fontId="3" fillId="2" borderId="12" xfId="2" applyFont="1" applyFill="1" applyBorder="1" applyAlignment="1">
      <alignment horizontal="center"/>
    </xf>
    <xf numFmtId="39" fontId="2" fillId="0" borderId="0" xfId="2" applyNumberFormat="1" applyFont="1" applyBorder="1"/>
    <xf numFmtId="39" fontId="2" fillId="0" borderId="7" xfId="2" applyNumberFormat="1" applyFont="1" applyBorder="1"/>
    <xf numFmtId="39" fontId="4" fillId="0" borderId="0" xfId="2" applyNumberFormat="1" applyFont="1" applyBorder="1"/>
    <xf numFmtId="39" fontId="4" fillId="0" borderId="7" xfId="2" applyNumberFormat="1" applyFont="1" applyBorder="1"/>
    <xf numFmtId="37" fontId="3" fillId="0" borderId="8" xfId="0" applyNumberFormat="1" applyFont="1" applyBorder="1"/>
    <xf numFmtId="37" fontId="3" fillId="0" borderId="9" xfId="0" applyNumberFormat="1" applyFont="1" applyBorder="1"/>
    <xf numFmtId="39" fontId="3" fillId="0" borderId="9" xfId="0" applyNumberFormat="1" applyFont="1" applyBorder="1"/>
    <xf numFmtId="39" fontId="3" fillId="0" borderId="10" xfId="2" applyNumberFormat="1" applyFont="1" applyBorder="1"/>
    <xf numFmtId="0" fontId="3" fillId="0" borderId="0" xfId="0" applyFont="1"/>
    <xf numFmtId="10" fontId="8" fillId="0" borderId="7" xfId="0" applyNumberFormat="1" applyFont="1" applyBorder="1"/>
    <xf numFmtId="164" fontId="2" fillId="0" borderId="10" xfId="0" applyNumberFormat="1" applyFont="1" applyBorder="1"/>
    <xf numFmtId="2" fontId="2" fillId="0" borderId="0" xfId="2" applyNumberFormat="1" applyFont="1" applyBorder="1"/>
    <xf numFmtId="2" fontId="4" fillId="0" borderId="0" xfId="2" applyNumberFormat="1" applyFont="1" applyBorder="1"/>
    <xf numFmtId="2" fontId="3" fillId="0" borderId="9" xfId="0" applyNumberFormat="1" applyFont="1" applyBorder="1"/>
    <xf numFmtId="0" fontId="11" fillId="3" borderId="0" xfId="0" applyFont="1" applyFill="1"/>
    <xf numFmtId="0" fontId="0" fillId="3" borderId="0" xfId="0" applyFill="1"/>
    <xf numFmtId="0" fontId="12" fillId="3" borderId="0" xfId="0" applyFont="1" applyFill="1"/>
    <xf numFmtId="0" fontId="12" fillId="3" borderId="1" xfId="0" applyFont="1" applyFill="1" applyBorder="1"/>
    <xf numFmtId="1" fontId="0" fillId="3" borderId="0" xfId="0" applyNumberFormat="1" applyFill="1"/>
    <xf numFmtId="165" fontId="0" fillId="3" borderId="0" xfId="0" applyNumberFormat="1" applyFill="1"/>
    <xf numFmtId="0" fontId="10" fillId="3" borderId="0" xfId="0" applyFont="1" applyFill="1"/>
    <xf numFmtId="1" fontId="10" fillId="3" borderId="13" xfId="0" applyNumberFormat="1" applyFont="1" applyFill="1" applyBorder="1"/>
    <xf numFmtId="0" fontId="0" fillId="3" borderId="1" xfId="0" applyFill="1" applyBorder="1"/>
    <xf numFmtId="0" fontId="0" fillId="4" borderId="0" xfId="0" applyFill="1"/>
    <xf numFmtId="44" fontId="0" fillId="4" borderId="17" xfId="4" applyFont="1" applyFill="1" applyBorder="1"/>
    <xf numFmtId="0" fontId="0" fillId="0" borderId="0" xfId="0" quotePrefix="1"/>
    <xf numFmtId="0" fontId="0" fillId="5" borderId="0" xfId="0" applyFill="1"/>
    <xf numFmtId="1" fontId="0" fillId="5" borderId="0" xfId="0" applyNumberFormat="1" applyFill="1"/>
    <xf numFmtId="1" fontId="0" fillId="5" borderId="1" xfId="0" applyNumberFormat="1" applyFill="1" applyBorder="1"/>
    <xf numFmtId="1" fontId="16" fillId="5" borderId="14" xfId="0" applyNumberFormat="1" applyFont="1" applyFill="1" applyBorder="1"/>
    <xf numFmtId="1" fontId="17" fillId="5" borderId="15" xfId="3" applyNumberFormat="1" applyFont="1" applyFill="1" applyBorder="1"/>
    <xf numFmtId="1" fontId="15" fillId="5" borderId="0" xfId="0" applyNumberFormat="1" applyFont="1" applyFill="1"/>
    <xf numFmtId="0" fontId="11" fillId="5" borderId="0" xfId="0" applyFont="1" applyFill="1"/>
    <xf numFmtId="1" fontId="0" fillId="5" borderId="1" xfId="3" applyNumberFormat="1" applyFont="1" applyFill="1" applyBorder="1"/>
    <xf numFmtId="0" fontId="0" fillId="5" borderId="18" xfId="0" applyFill="1" applyBorder="1"/>
    <xf numFmtId="1" fontId="0" fillId="5" borderId="19" xfId="0" applyNumberFormat="1" applyFill="1" applyBorder="1"/>
    <xf numFmtId="1" fontId="0" fillId="5" borderId="16" xfId="0" applyNumberFormat="1" applyFill="1" applyBorder="1"/>
    <xf numFmtId="1" fontId="11" fillId="5" borderId="0" xfId="0" applyNumberFormat="1" applyFont="1" applyFill="1"/>
    <xf numFmtId="0" fontId="0" fillId="5" borderId="19" xfId="0" applyFill="1" applyBorder="1"/>
    <xf numFmtId="1" fontId="18" fillId="5" borderId="0" xfId="0" applyNumberFormat="1" applyFont="1" applyFill="1"/>
    <xf numFmtId="166" fontId="19" fillId="5" borderId="19" xfId="5" applyNumberFormat="1" applyFont="1" applyFill="1" applyBorder="1"/>
    <xf numFmtId="166" fontId="19" fillId="5" borderId="16" xfId="5" applyNumberFormat="1" applyFont="1" applyFill="1" applyBorder="1"/>
    <xf numFmtId="9" fontId="0" fillId="5" borderId="0" xfId="0" applyNumberFormat="1" applyFill="1"/>
    <xf numFmtId="0" fontId="10" fillId="0" borderId="13" xfId="0" applyFont="1" applyBorder="1" applyAlignment="1">
      <alignment horizontal="center"/>
    </xf>
    <xf numFmtId="0" fontId="10" fillId="0" borderId="13" xfId="0" applyFont="1" applyBorder="1"/>
    <xf numFmtId="0" fontId="0" fillId="0" borderId="13" xfId="0" applyBorder="1"/>
    <xf numFmtId="8" fontId="0" fillId="0" borderId="13" xfId="0" applyNumberFormat="1" applyBorder="1"/>
    <xf numFmtId="0" fontId="0" fillId="0" borderId="13" xfId="0" applyBorder="1" applyAlignment="1">
      <alignment horizontal="center"/>
    </xf>
    <xf numFmtId="8" fontId="10" fillId="0" borderId="13" xfId="0" applyNumberFormat="1" applyFont="1" applyBorder="1"/>
    <xf numFmtId="8" fontId="10" fillId="4" borderId="13" xfId="0" applyNumberFormat="1" applyFont="1" applyFill="1" applyBorder="1"/>
    <xf numFmtId="0" fontId="20" fillId="0" borderId="13" xfId="0" applyFont="1" applyBorder="1" applyAlignment="1">
      <alignment vertical="center"/>
    </xf>
    <xf numFmtId="0" fontId="20" fillId="0" borderId="13" xfId="0" applyFont="1" applyBorder="1" applyAlignment="1">
      <alignment horizontal="center" vertical="center"/>
    </xf>
    <xf numFmtId="0" fontId="10" fillId="0" borderId="13" xfId="0" applyFont="1" applyBorder="1" applyAlignment="1">
      <alignment horizontal="center"/>
    </xf>
    <xf numFmtId="37" fontId="3" fillId="0" borderId="3" xfId="0" applyNumberFormat="1" applyFont="1" applyBorder="1" applyAlignment="1">
      <alignment horizontal="center"/>
    </xf>
    <xf numFmtId="37" fontId="3" fillId="0" borderId="4" xfId="0" applyNumberFormat="1" applyFont="1" applyBorder="1" applyAlignment="1">
      <alignment horizontal="center"/>
    </xf>
    <xf numFmtId="37" fontId="3" fillId="0" borderId="5" xfId="0" applyNumberFormat="1"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0" fontId="11" fillId="3" borderId="0" xfId="0" applyFont="1" applyFill="1" applyAlignment="1">
      <alignment horizontal="left"/>
    </xf>
    <xf numFmtId="0" fontId="14" fillId="0" borderId="0" xfId="0" applyFont="1" applyAlignment="1">
      <alignment horizontal="center"/>
    </xf>
  </cellXfs>
  <cellStyles count="6">
    <cellStyle name="Comma" xfId="3" builtinId="3"/>
    <cellStyle name="Comma 2" xfId="5" xr:uid="{D863A15A-52B5-467D-B6EF-76B471D57B3D}"/>
    <cellStyle name="Comma 3" xfId="1" xr:uid="{72C0FA1D-9492-4976-8B9B-BB2C6440856C}"/>
    <cellStyle name="Currency" xfId="4"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7E73B-D9C1-4934-A58F-4E60B1741847}">
  <dimension ref="A1:H28"/>
  <sheetViews>
    <sheetView zoomScaleNormal="100" workbookViewId="0">
      <selection activeCell="G20" sqref="G20"/>
    </sheetView>
  </sheetViews>
  <sheetFormatPr defaultRowHeight="15.6" x14ac:dyDescent="0.3"/>
  <cols>
    <col min="1" max="1" width="38.6640625" style="1" customWidth="1"/>
    <col min="2" max="2" width="8.88671875" style="1"/>
    <col min="3" max="4" width="13.5546875" style="1" customWidth="1"/>
    <col min="5" max="5" width="16.21875" style="1" bestFit="1" customWidth="1"/>
    <col min="6" max="8" width="13.5546875" customWidth="1"/>
    <col min="10" max="10" width="18.77734375" bestFit="1" customWidth="1"/>
  </cols>
  <sheetData>
    <row r="1" spans="1:8" x14ac:dyDescent="0.3">
      <c r="A1" s="30" t="s">
        <v>23</v>
      </c>
      <c r="B1" s="30"/>
      <c r="C1" s="30"/>
      <c r="D1" s="30"/>
      <c r="E1" s="30"/>
    </row>
    <row r="2" spans="1:8" ht="16.2" thickBot="1" x14ac:dyDescent="0.35">
      <c r="A2" s="30"/>
      <c r="C2" s="7"/>
    </row>
    <row r="3" spans="1:8" x14ac:dyDescent="0.3">
      <c r="A3" s="78" t="s">
        <v>20</v>
      </c>
      <c r="B3" s="79"/>
      <c r="C3" s="79"/>
      <c r="D3" s="79"/>
      <c r="E3" s="80"/>
      <c r="F3" s="9"/>
      <c r="G3" s="9"/>
      <c r="H3" s="9"/>
    </row>
    <row r="4" spans="1:8" x14ac:dyDescent="0.3">
      <c r="A4" s="5"/>
      <c r="B4" s="19"/>
      <c r="C4" s="3" t="s">
        <v>1</v>
      </c>
      <c r="D4" s="3" t="s">
        <v>0</v>
      </c>
      <c r="E4" s="20" t="s">
        <v>17</v>
      </c>
    </row>
    <row r="5" spans="1:8" x14ac:dyDescent="0.3">
      <c r="A5" s="6" t="s">
        <v>2</v>
      </c>
      <c r="B5" s="19"/>
      <c r="C5" s="4" t="s">
        <v>0</v>
      </c>
      <c r="D5" s="4" t="s">
        <v>18</v>
      </c>
      <c r="E5" s="21" t="s">
        <v>18</v>
      </c>
      <c r="G5" s="17"/>
    </row>
    <row r="6" spans="1:8" x14ac:dyDescent="0.3">
      <c r="A6" s="5" t="s">
        <v>3</v>
      </c>
      <c r="B6" s="19"/>
      <c r="C6" s="33">
        <v>0.58339095159368204</v>
      </c>
      <c r="D6" s="22">
        <v>0.86</v>
      </c>
      <c r="E6" s="23">
        <f>D6/(1+C6*(1-$C$15))</f>
        <v>0.63702072413662336</v>
      </c>
    </row>
    <row r="7" spans="1:8" x14ac:dyDescent="0.3">
      <c r="A7" s="2" t="s">
        <v>4</v>
      </c>
      <c r="B7" s="19"/>
      <c r="C7" s="33">
        <v>0.43</v>
      </c>
      <c r="D7" s="22">
        <v>0.89</v>
      </c>
      <c r="E7" s="23">
        <f>D7/(1+C7*(1-$C$15))</f>
        <v>0.7074721780604134</v>
      </c>
    </row>
    <row r="8" spans="1:8" x14ac:dyDescent="0.3">
      <c r="A8" s="2" t="s">
        <v>5</v>
      </c>
      <c r="B8" s="19"/>
      <c r="C8" s="33">
        <v>0.24099999999999999</v>
      </c>
      <c r="D8" s="22">
        <v>1.17</v>
      </c>
      <c r="E8" s="23">
        <f>D8/(1+C8*(1-$C$15))</f>
        <v>1.0221911584833128</v>
      </c>
    </row>
    <row r="9" spans="1:8" x14ac:dyDescent="0.3">
      <c r="A9" s="5" t="s">
        <v>6</v>
      </c>
      <c r="B9" s="19"/>
      <c r="C9" s="33">
        <v>0.31709999999999999</v>
      </c>
      <c r="D9" s="22">
        <v>0.97</v>
      </c>
      <c r="E9" s="23">
        <f>D9/(1+C9*(1-$C$15))</f>
        <v>0.81494799455581135</v>
      </c>
    </row>
    <row r="10" spans="1:8" x14ac:dyDescent="0.3">
      <c r="A10" s="2" t="s">
        <v>7</v>
      </c>
      <c r="B10" s="19"/>
      <c r="C10" s="34">
        <v>0.44400000000000001</v>
      </c>
      <c r="D10" s="24">
        <v>1.1299999999999999</v>
      </c>
      <c r="E10" s="25">
        <f>D10/(1+C10*(1-$C$15))</f>
        <v>0.89229311433986092</v>
      </c>
    </row>
    <row r="11" spans="1:8" ht="16.2" thickBot="1" x14ac:dyDescent="0.35">
      <c r="A11" s="26" t="s">
        <v>8</v>
      </c>
      <c r="B11" s="27"/>
      <c r="C11" s="35">
        <f>AVERAGE(C6:C10)</f>
        <v>0.40309819031873639</v>
      </c>
      <c r="D11" s="28">
        <f>AVERAGE(D6:D10)</f>
        <v>1.004</v>
      </c>
      <c r="E11" s="29">
        <f>AVERAGE(E6:E10)</f>
        <v>0.81478503391520429</v>
      </c>
    </row>
    <row r="13" spans="1:8" ht="16.2" thickBot="1" x14ac:dyDescent="0.35"/>
    <row r="14" spans="1:8" x14ac:dyDescent="0.3">
      <c r="A14" s="75" t="s">
        <v>25</v>
      </c>
      <c r="B14" s="76"/>
      <c r="C14" s="77"/>
    </row>
    <row r="15" spans="1:8" x14ac:dyDescent="0.3">
      <c r="A15" s="2" t="s">
        <v>19</v>
      </c>
      <c r="B15" s="18"/>
      <c r="C15" s="10">
        <v>0.4</v>
      </c>
    </row>
    <row r="16" spans="1:8" x14ac:dyDescent="0.3">
      <c r="A16" s="2" t="s">
        <v>9</v>
      </c>
      <c r="B16" s="18"/>
      <c r="C16" s="12">
        <v>0.05</v>
      </c>
    </row>
    <row r="17" spans="1:3" x14ac:dyDescent="0.3">
      <c r="A17" s="2" t="s">
        <v>10</v>
      </c>
      <c r="B17" s="18"/>
      <c r="C17" s="12">
        <v>4.2500000000000003E-2</v>
      </c>
    </row>
    <row r="18" spans="1:3" x14ac:dyDescent="0.3">
      <c r="A18" s="2" t="s">
        <v>21</v>
      </c>
      <c r="B18" s="18"/>
      <c r="C18" s="31">
        <v>5.5E-2</v>
      </c>
    </row>
    <row r="19" spans="1:3" ht="18.600000000000001" thickBot="1" x14ac:dyDescent="0.45">
      <c r="A19" s="14" t="s">
        <v>22</v>
      </c>
      <c r="B19" s="15"/>
      <c r="C19" s="32">
        <v>0.3</v>
      </c>
    </row>
    <row r="21" spans="1:3" ht="16.2" thickBot="1" x14ac:dyDescent="0.35"/>
    <row r="22" spans="1:3" x14ac:dyDescent="0.3">
      <c r="A22" s="78" t="s">
        <v>24</v>
      </c>
      <c r="B22" s="79"/>
      <c r="C22" s="80"/>
    </row>
    <row r="23" spans="1:3" x14ac:dyDescent="0.3">
      <c r="A23" s="2" t="s">
        <v>12</v>
      </c>
      <c r="C23" s="10">
        <f>C19/(1-C19)</f>
        <v>0.4285714285714286</v>
      </c>
    </row>
    <row r="24" spans="1:3" x14ac:dyDescent="0.3">
      <c r="A24" s="8" t="s">
        <v>13</v>
      </c>
      <c r="C24" s="11">
        <f>E11*(1+C23*(1-C15))</f>
        <v>1.0243011854933997</v>
      </c>
    </row>
    <row r="25" spans="1:3" x14ac:dyDescent="0.3">
      <c r="A25" s="8" t="s">
        <v>14</v>
      </c>
      <c r="C25" s="12">
        <f>C17+C24*C16</f>
        <v>9.3715059274669998E-2</v>
      </c>
    </row>
    <row r="26" spans="1:3" ht="18" x14ac:dyDescent="0.4">
      <c r="A26" s="8" t="s">
        <v>15</v>
      </c>
      <c r="C26" s="10">
        <f>C19</f>
        <v>0.3</v>
      </c>
    </row>
    <row r="27" spans="1:3" ht="18" x14ac:dyDescent="0.4">
      <c r="A27" s="13" t="s">
        <v>16</v>
      </c>
      <c r="C27" s="10">
        <f>1-C19</f>
        <v>0.7</v>
      </c>
    </row>
    <row r="28" spans="1:3" ht="16.2" thickBot="1" x14ac:dyDescent="0.35">
      <c r="A28" s="14" t="s">
        <v>11</v>
      </c>
      <c r="B28" s="15"/>
      <c r="C28" s="16">
        <f>C26*C18*(1-C15)+C25*C27</f>
        <v>7.5500541492268994E-2</v>
      </c>
    </row>
  </sheetData>
  <mergeCells count="3">
    <mergeCell ref="A14:C14"/>
    <mergeCell ref="A22:C22"/>
    <mergeCell ref="A3:E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D84D9-B578-4641-A3D8-D6AF00F42AFF}">
  <dimension ref="A1:J36"/>
  <sheetViews>
    <sheetView workbookViewId="0">
      <selection activeCell="G40" sqref="G40"/>
    </sheetView>
  </sheetViews>
  <sheetFormatPr defaultRowHeight="14.4" x14ac:dyDescent="0.3"/>
  <cols>
    <col min="1" max="1" width="24.77734375" bestFit="1" customWidth="1"/>
    <col min="2" max="2" width="21.6640625" bestFit="1" customWidth="1"/>
    <col min="3" max="3" width="14.44140625" customWidth="1"/>
    <col min="4" max="4" width="12.77734375" bestFit="1" customWidth="1"/>
    <col min="8" max="8" width="5.5546875" bestFit="1" customWidth="1"/>
    <col min="9" max="9" width="38.88671875" bestFit="1" customWidth="1"/>
  </cols>
  <sheetData>
    <row r="1" spans="1:10" ht="21" x14ac:dyDescent="0.4">
      <c r="A1" s="82" t="s">
        <v>58</v>
      </c>
      <c r="B1" s="82"/>
      <c r="C1" s="82"/>
      <c r="D1" s="82"/>
    </row>
    <row r="2" spans="1:10" x14ac:dyDescent="0.3">
      <c r="A2" s="48"/>
      <c r="B2" s="48"/>
      <c r="C2" s="53" t="s">
        <v>38</v>
      </c>
      <c r="D2" s="51" t="s">
        <v>27</v>
      </c>
      <c r="I2" s="81" t="s">
        <v>57</v>
      </c>
      <c r="J2" s="81"/>
    </row>
    <row r="3" spans="1:10" x14ac:dyDescent="0.3">
      <c r="A3" s="54" t="s">
        <v>39</v>
      </c>
      <c r="B3" s="48"/>
      <c r="C3" s="55">
        <v>0</v>
      </c>
      <c r="D3" s="52">
        <v>1</v>
      </c>
      <c r="I3" s="48" t="s">
        <v>54</v>
      </c>
      <c r="J3" s="64">
        <v>0.1</v>
      </c>
    </row>
    <row r="4" spans="1:10" x14ac:dyDescent="0.3">
      <c r="A4" s="48"/>
      <c r="B4" s="48"/>
      <c r="C4" s="56"/>
      <c r="D4" s="48"/>
      <c r="I4" s="48" t="s">
        <v>55</v>
      </c>
      <c r="J4" s="64">
        <v>0.05</v>
      </c>
    </row>
    <row r="5" spans="1:10" x14ac:dyDescent="0.3">
      <c r="A5" s="49" t="s">
        <v>40</v>
      </c>
      <c r="B5" s="49"/>
      <c r="C5" s="57">
        <v>525.06436056515429</v>
      </c>
      <c r="D5" s="49">
        <v>556.4669349877604</v>
      </c>
    </row>
    <row r="6" spans="1:10" x14ac:dyDescent="0.3">
      <c r="A6" s="49" t="s">
        <v>41</v>
      </c>
      <c r="B6" s="49"/>
      <c r="C6" s="57">
        <v>230</v>
      </c>
      <c r="D6" s="49">
        <v>243.73251752463906</v>
      </c>
    </row>
    <row r="7" spans="1:10" x14ac:dyDescent="0.3">
      <c r="A7" s="49" t="s">
        <v>29</v>
      </c>
      <c r="B7" s="49"/>
      <c r="C7" s="57">
        <v>46</v>
      </c>
      <c r="D7" s="49">
        <v>39.06</v>
      </c>
    </row>
    <row r="8" spans="1:10" x14ac:dyDescent="0.3">
      <c r="A8" s="49" t="s">
        <v>42</v>
      </c>
      <c r="B8" s="49"/>
      <c r="C8" s="57">
        <v>53.3</v>
      </c>
      <c r="D8" s="49">
        <v>55.646693498776045</v>
      </c>
    </row>
    <row r="9" spans="1:10" x14ac:dyDescent="0.3">
      <c r="A9" s="49" t="s">
        <v>43</v>
      </c>
      <c r="B9" s="49"/>
      <c r="C9" s="58">
        <v>151.69999999999999</v>
      </c>
      <c r="D9" s="50">
        <v>161.37541114645052</v>
      </c>
    </row>
    <row r="10" spans="1:10" x14ac:dyDescent="0.3">
      <c r="A10" s="48" t="s">
        <v>28</v>
      </c>
      <c r="B10" s="48"/>
      <c r="C10" s="57">
        <f>C5-C6-C7-C8-C9</f>
        <v>44.064360565154288</v>
      </c>
      <c r="D10" s="49">
        <f>D5-D6-D7-D8-D9</f>
        <v>56.652312817894739</v>
      </c>
    </row>
    <row r="11" spans="1:10" x14ac:dyDescent="0.3">
      <c r="A11" s="49"/>
      <c r="B11" s="49"/>
      <c r="C11" s="57"/>
      <c r="D11" s="48"/>
    </row>
    <row r="12" spans="1:10" x14ac:dyDescent="0.3">
      <c r="A12" s="59" t="s">
        <v>44</v>
      </c>
      <c r="B12" s="59"/>
      <c r="C12" s="60"/>
      <c r="D12" s="48"/>
    </row>
    <row r="13" spans="1:10" x14ac:dyDescent="0.3">
      <c r="A13" s="61" t="s">
        <v>45</v>
      </c>
      <c r="B13" s="61"/>
      <c r="C13" s="60"/>
      <c r="D13" s="48"/>
    </row>
    <row r="14" spans="1:10" x14ac:dyDescent="0.3">
      <c r="A14" s="48"/>
      <c r="B14" s="49" t="s">
        <v>53</v>
      </c>
      <c r="C14" s="62">
        <v>21.002574422606173</v>
      </c>
      <c r="D14" s="49">
        <v>22.258677399510415</v>
      </c>
    </row>
    <row r="15" spans="1:10" x14ac:dyDescent="0.3">
      <c r="A15" s="48"/>
      <c r="B15" s="49" t="s">
        <v>46</v>
      </c>
      <c r="C15" s="62">
        <v>181.22447368421052</v>
      </c>
      <c r="D15" s="49">
        <v>192.09543509166525</v>
      </c>
    </row>
    <row r="16" spans="1:10" x14ac:dyDescent="0.3">
      <c r="A16" s="48"/>
      <c r="B16" s="49" t="s">
        <v>47</v>
      </c>
      <c r="C16" s="60">
        <v>271</v>
      </c>
      <c r="D16" s="49">
        <v>287.13693845368437</v>
      </c>
    </row>
    <row r="17" spans="1:8" x14ac:dyDescent="0.3">
      <c r="A17" s="48"/>
      <c r="B17" s="49" t="s">
        <v>48</v>
      </c>
      <c r="C17" s="62">
        <v>34.273575000000008</v>
      </c>
      <c r="D17" s="49">
        <v>36.170350774204429</v>
      </c>
    </row>
    <row r="18" spans="1:8" x14ac:dyDescent="0.3">
      <c r="A18" s="48"/>
      <c r="B18" s="49" t="s">
        <v>49</v>
      </c>
      <c r="C18" s="63">
        <v>85.952178947368424</v>
      </c>
      <c r="D18" s="50">
        <v>90.815403790002506</v>
      </c>
    </row>
    <row r="19" spans="1:8" x14ac:dyDescent="0.3">
      <c r="A19" s="48" t="s">
        <v>50</v>
      </c>
      <c r="B19" s="48"/>
      <c r="C19" s="57">
        <f>SUM(C14:C17)-C18</f>
        <v>421.54844415944831</v>
      </c>
      <c r="D19" s="49">
        <f>SUM(D14:D17)-D18</f>
        <v>446.84599792906192</v>
      </c>
    </row>
    <row r="20" spans="1:8" x14ac:dyDescent="0.3">
      <c r="A20" s="48"/>
      <c r="B20" s="48" t="s">
        <v>30</v>
      </c>
      <c r="C20" s="60"/>
      <c r="D20" s="49">
        <f>D19-C19</f>
        <v>25.297553769613614</v>
      </c>
    </row>
    <row r="21" spans="1:8" x14ac:dyDescent="0.3">
      <c r="A21" s="49" t="s">
        <v>51</v>
      </c>
      <c r="B21" s="48"/>
      <c r="C21" s="60"/>
      <c r="D21" s="48">
        <v>10</v>
      </c>
    </row>
    <row r="24" spans="1:8" x14ac:dyDescent="0.3">
      <c r="A24" s="36" t="s">
        <v>26</v>
      </c>
      <c r="B24" s="37"/>
      <c r="C24" s="37"/>
      <c r="D24" s="38" t="s">
        <v>27</v>
      </c>
      <c r="E24" s="38"/>
      <c r="F24" s="38"/>
      <c r="G24" s="38"/>
      <c r="H24" s="38"/>
    </row>
    <row r="25" spans="1:8" x14ac:dyDescent="0.3">
      <c r="A25" s="37"/>
      <c r="B25" s="37"/>
      <c r="C25" s="37"/>
      <c r="D25" s="39">
        <v>1</v>
      </c>
      <c r="E25" s="39">
        <v>2</v>
      </c>
      <c r="F25" s="39">
        <v>3</v>
      </c>
      <c r="G25" s="39">
        <v>4</v>
      </c>
      <c r="H25" s="39">
        <v>5</v>
      </c>
    </row>
    <row r="26" spans="1:8" x14ac:dyDescent="0.3">
      <c r="A26" s="37" t="s">
        <v>31</v>
      </c>
      <c r="B26" s="37"/>
      <c r="C26" s="37"/>
      <c r="D26" s="40">
        <f>D10*(1-'mini case A WACC'!C15)+D7-D20-D21</f>
        <v>37.753833921123231</v>
      </c>
      <c r="E26" s="40">
        <f>D26*(1+$J$3)</f>
        <v>41.529217313235556</v>
      </c>
      <c r="F26" s="40">
        <f t="shared" ref="F26:H26" si="0">E26*(1+$J$3)</f>
        <v>45.682139044559115</v>
      </c>
      <c r="G26" s="40">
        <f t="shared" si="0"/>
        <v>50.250352949015031</v>
      </c>
      <c r="H26" s="40">
        <f t="shared" si="0"/>
        <v>55.275388243916538</v>
      </c>
    </row>
    <row r="27" spans="1:8" x14ac:dyDescent="0.3">
      <c r="A27" s="37" t="s">
        <v>32</v>
      </c>
      <c r="B27" s="37"/>
      <c r="C27" s="37"/>
      <c r="D27" s="37"/>
      <c r="E27" s="37"/>
      <c r="F27" s="37"/>
      <c r="G27" s="37"/>
      <c r="H27" s="40">
        <f>H26*(1+J4)/('mini case A WACC'!C28-'mini case A cash flows'!J4)</f>
        <v>2275.9970675018067</v>
      </c>
    </row>
    <row r="28" spans="1:8" x14ac:dyDescent="0.3">
      <c r="A28" s="37"/>
      <c r="B28" s="37"/>
      <c r="C28" s="37"/>
      <c r="D28" s="37"/>
      <c r="E28" s="37"/>
      <c r="F28" s="37"/>
      <c r="G28" s="37"/>
      <c r="H28" s="37"/>
    </row>
    <row r="29" spans="1:8" x14ac:dyDescent="0.3">
      <c r="A29" s="37" t="s">
        <v>33</v>
      </c>
      <c r="B29" s="37"/>
      <c r="C29" s="37"/>
      <c r="D29" s="41"/>
      <c r="E29" s="41"/>
      <c r="F29" s="41"/>
      <c r="G29" s="41"/>
      <c r="H29" s="41"/>
    </row>
    <row r="30" spans="1:8" x14ac:dyDescent="0.3">
      <c r="A30" s="37" t="s">
        <v>34</v>
      </c>
      <c r="B30" s="37"/>
      <c r="C30" s="37"/>
      <c r="D30" s="40"/>
      <c r="E30" s="40"/>
      <c r="F30" s="40"/>
      <c r="G30" s="40"/>
      <c r="H30" s="40"/>
    </row>
    <row r="31" spans="1:8" x14ac:dyDescent="0.3">
      <c r="A31" s="42" t="s">
        <v>35</v>
      </c>
      <c r="B31" s="42"/>
      <c r="C31" s="43">
        <f>NPV('mini case A WACC'!C28,D26:H26)+H27/(1+'mini case A WACC'!C28)^5</f>
        <v>1765.3778407491816</v>
      </c>
      <c r="D31" s="37"/>
      <c r="E31" s="37"/>
      <c r="F31" s="37"/>
      <c r="G31" s="37"/>
      <c r="H31" s="37"/>
    </row>
    <row r="32" spans="1:8" x14ac:dyDescent="0.3">
      <c r="A32" s="37" t="s">
        <v>56</v>
      </c>
      <c r="B32" s="37"/>
      <c r="C32" s="44">
        <v>530</v>
      </c>
      <c r="D32" s="37"/>
      <c r="E32" s="37"/>
      <c r="F32" s="37"/>
      <c r="G32" s="37"/>
      <c r="H32" s="37"/>
    </row>
    <row r="33" spans="1:8" x14ac:dyDescent="0.3">
      <c r="A33" s="37" t="s">
        <v>36</v>
      </c>
      <c r="B33" s="37"/>
      <c r="C33" s="43">
        <f>C31-C32</f>
        <v>1235.3778407491816</v>
      </c>
      <c r="D33" s="37"/>
      <c r="E33" s="37"/>
      <c r="F33" s="37"/>
      <c r="G33" s="37"/>
      <c r="H33" s="37"/>
    </row>
    <row r="34" spans="1:8" x14ac:dyDescent="0.3">
      <c r="A34" s="37" t="s">
        <v>37</v>
      </c>
      <c r="B34" s="37"/>
      <c r="C34" s="37">
        <v>50</v>
      </c>
      <c r="D34" s="37"/>
      <c r="E34" s="37"/>
      <c r="F34" s="37"/>
      <c r="G34" s="37"/>
      <c r="H34" s="37"/>
    </row>
    <row r="35" spans="1:8" ht="15" thickBot="1" x14ac:dyDescent="0.35">
      <c r="A35" s="37"/>
      <c r="B35" s="37"/>
      <c r="C35" s="37"/>
      <c r="D35" s="37"/>
      <c r="E35" s="37"/>
      <c r="F35" s="37"/>
      <c r="G35" s="37"/>
      <c r="H35" s="37"/>
    </row>
    <row r="36" spans="1:8" ht="15" thickBot="1" x14ac:dyDescent="0.35">
      <c r="A36" s="45" t="s">
        <v>52</v>
      </c>
      <c r="B36" s="45"/>
      <c r="C36" s="46">
        <f>C33/C34</f>
        <v>24.707556814983633</v>
      </c>
      <c r="D36" s="47"/>
    </row>
  </sheetData>
  <mergeCells count="2">
    <mergeCell ref="I2:J2"/>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CAB80-8CAE-4441-B501-040A4DADECDB}">
  <dimension ref="B2:E20"/>
  <sheetViews>
    <sheetView tabSelected="1" workbookViewId="0">
      <selection activeCell="E32" sqref="E32"/>
    </sheetView>
  </sheetViews>
  <sheetFormatPr defaultRowHeight="14.4" x14ac:dyDescent="0.3"/>
  <cols>
    <col min="2" max="2" width="26" bestFit="1" customWidth="1"/>
    <col min="3" max="3" width="14" bestFit="1" customWidth="1"/>
    <col min="4" max="4" width="53.6640625" bestFit="1" customWidth="1"/>
    <col min="5" max="5" width="16.33203125" bestFit="1" customWidth="1"/>
  </cols>
  <sheetData>
    <row r="2" spans="2:5" x14ac:dyDescent="0.3">
      <c r="B2" s="74" t="s">
        <v>59</v>
      </c>
      <c r="C2" s="74"/>
      <c r="D2" s="74" t="s">
        <v>60</v>
      </c>
      <c r="E2" s="74"/>
    </row>
    <row r="3" spans="2:5" x14ac:dyDescent="0.3">
      <c r="B3" s="66" t="s">
        <v>61</v>
      </c>
      <c r="C3" s="66" t="s">
        <v>62</v>
      </c>
      <c r="D3" s="65" t="s">
        <v>63</v>
      </c>
      <c r="E3" s="66" t="s">
        <v>64</v>
      </c>
    </row>
    <row r="4" spans="2:5" x14ac:dyDescent="0.3">
      <c r="B4" s="67" t="s">
        <v>65</v>
      </c>
      <c r="C4" s="68">
        <v>105.75</v>
      </c>
      <c r="D4" s="69">
        <f>AVERAGE(E14,E19)</f>
        <v>6.9</v>
      </c>
      <c r="E4" s="68">
        <f>C4*D4</f>
        <v>729.67500000000007</v>
      </c>
    </row>
    <row r="5" spans="2:5" x14ac:dyDescent="0.3">
      <c r="B5" s="67" t="s">
        <v>66</v>
      </c>
      <c r="C5" s="68">
        <v>87.95</v>
      </c>
      <c r="D5" s="69">
        <f>AVERAGE(E15,E20)</f>
        <v>9.5</v>
      </c>
      <c r="E5" s="68">
        <f t="shared" ref="E5:E6" si="0">C5*D5</f>
        <v>835.52499999999998</v>
      </c>
    </row>
    <row r="6" spans="2:5" x14ac:dyDescent="0.3">
      <c r="B6" s="67" t="s">
        <v>67</v>
      </c>
      <c r="C6" s="68">
        <v>129.5</v>
      </c>
      <c r="D6" s="69">
        <f>AVERAGE(E16,E17)</f>
        <v>10.8</v>
      </c>
      <c r="E6" s="68">
        <f t="shared" si="0"/>
        <v>1398.6000000000001</v>
      </c>
    </row>
    <row r="7" spans="2:5" x14ac:dyDescent="0.3">
      <c r="B7" s="66" t="s">
        <v>68</v>
      </c>
      <c r="C7" s="70">
        <f>SUM(C4:C6)</f>
        <v>323.2</v>
      </c>
      <c r="D7" s="67"/>
      <c r="E7" s="71">
        <f>SUM(E4:E6)</f>
        <v>2963.8</v>
      </c>
    </row>
    <row r="10" spans="2:5" x14ac:dyDescent="0.3">
      <c r="B10" s="66" t="s">
        <v>69</v>
      </c>
      <c r="C10" s="66" t="s">
        <v>70</v>
      </c>
      <c r="D10" s="66" t="s">
        <v>71</v>
      </c>
      <c r="E10" s="65" t="s">
        <v>72</v>
      </c>
    </row>
    <row r="11" spans="2:5" x14ac:dyDescent="0.3">
      <c r="B11" s="67" t="s">
        <v>73</v>
      </c>
      <c r="C11" s="67" t="s">
        <v>74</v>
      </c>
      <c r="D11" s="67" t="s">
        <v>75</v>
      </c>
      <c r="E11" s="69">
        <v>6.2</v>
      </c>
    </row>
    <row r="12" spans="2:5" x14ac:dyDescent="0.3">
      <c r="B12" s="72" t="s">
        <v>88</v>
      </c>
      <c r="C12" s="72" t="s">
        <v>74</v>
      </c>
      <c r="D12" s="72" t="s">
        <v>89</v>
      </c>
      <c r="E12" s="73">
        <v>8.3000000000000007</v>
      </c>
    </row>
    <row r="13" spans="2:5" x14ac:dyDescent="0.3">
      <c r="B13" s="67" t="s">
        <v>76</v>
      </c>
      <c r="C13" s="67" t="s">
        <v>74</v>
      </c>
      <c r="D13" s="67" t="s">
        <v>77</v>
      </c>
      <c r="E13" s="69">
        <v>9.3000000000000007</v>
      </c>
    </row>
    <row r="14" spans="2:5" x14ac:dyDescent="0.3">
      <c r="B14" s="67" t="s">
        <v>78</v>
      </c>
      <c r="C14" s="67" t="s">
        <v>79</v>
      </c>
      <c r="D14" s="67" t="s">
        <v>80</v>
      </c>
      <c r="E14" s="69">
        <v>6.8</v>
      </c>
    </row>
    <row r="15" spans="2:5" x14ac:dyDescent="0.3">
      <c r="B15" s="67" t="s">
        <v>81</v>
      </c>
      <c r="C15" s="67" t="s">
        <v>79</v>
      </c>
      <c r="D15" s="67" t="s">
        <v>66</v>
      </c>
      <c r="E15" s="69">
        <v>10.199999999999999</v>
      </c>
    </row>
    <row r="16" spans="2:5" x14ac:dyDescent="0.3">
      <c r="B16" s="67" t="s">
        <v>82</v>
      </c>
      <c r="C16" s="67" t="s">
        <v>79</v>
      </c>
      <c r="D16" s="67" t="s">
        <v>67</v>
      </c>
      <c r="E16" s="69">
        <v>10.6</v>
      </c>
    </row>
    <row r="17" spans="2:5" x14ac:dyDescent="0.3">
      <c r="B17" s="67" t="s">
        <v>83</v>
      </c>
      <c r="C17" s="67" t="s">
        <v>79</v>
      </c>
      <c r="D17" s="67" t="s">
        <v>67</v>
      </c>
      <c r="E17" s="69">
        <v>11</v>
      </c>
    </row>
    <row r="18" spans="2:5" x14ac:dyDescent="0.3">
      <c r="B18" s="67" t="s">
        <v>84</v>
      </c>
      <c r="C18" s="67" t="s">
        <v>74</v>
      </c>
      <c r="D18" s="67" t="s">
        <v>85</v>
      </c>
      <c r="E18" s="69">
        <v>9</v>
      </c>
    </row>
    <row r="19" spans="2:5" x14ac:dyDescent="0.3">
      <c r="B19" s="67" t="s">
        <v>86</v>
      </c>
      <c r="C19" s="67" t="s">
        <v>79</v>
      </c>
      <c r="D19" s="67" t="s">
        <v>80</v>
      </c>
      <c r="E19" s="69">
        <v>7</v>
      </c>
    </row>
    <row r="20" spans="2:5" x14ac:dyDescent="0.3">
      <c r="B20" s="67" t="s">
        <v>87</v>
      </c>
      <c r="C20" s="67" t="s">
        <v>79</v>
      </c>
      <c r="D20" s="67" t="s">
        <v>66</v>
      </c>
      <c r="E20" s="69">
        <v>8.8000000000000007</v>
      </c>
    </row>
  </sheetData>
  <mergeCells count="2">
    <mergeCell ref="B2:C2"/>
    <mergeCell ref="D2: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mini case A WACC</vt:lpstr>
      <vt:lpstr>mini case A cash flows</vt:lpstr>
      <vt:lpstr>mini case 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Keke Song</dc:creator>
  <cp:lastModifiedBy>Keke Song</cp:lastModifiedBy>
  <dcterms:created xsi:type="dcterms:W3CDTF">2015-06-05T18:17:20Z</dcterms:created>
  <dcterms:modified xsi:type="dcterms:W3CDTF">2026-05-06T01:06:56Z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1524f1f-6176-4541-a517-78364e0657ce_Enabled">
    <vt:lpwstr>true</vt:lpwstr>
  </property>
  <property fmtid="{D5CDD505-2E9C-101B-9397-08002B2CF9AE}" pid="3" name="MSIP_Label_d1524f1f-6176-4541-a517-78364e0657ce_SetDate">
    <vt:lpwstr>2025-03-12T00:39:19Z</vt:lpwstr>
  </property>
  <property fmtid="{D5CDD505-2E9C-101B-9397-08002B2CF9AE}" pid="4" name="MSIP_Label_d1524f1f-6176-4541-a517-78364e0657ce_Method">
    <vt:lpwstr>Standard</vt:lpwstr>
  </property>
  <property fmtid="{D5CDD505-2E9C-101B-9397-08002B2CF9AE}" pid="5" name="MSIP_Label_d1524f1f-6176-4541-a517-78364e0657ce_Name">
    <vt:lpwstr>Internal Use</vt:lpwstr>
  </property>
  <property fmtid="{D5CDD505-2E9C-101B-9397-08002B2CF9AE}" pid="6" name="MSIP_Label_d1524f1f-6176-4541-a517-78364e0657ce_SiteId">
    <vt:lpwstr>f6e78445-b0df-4ce6-b13f-316ef8b33be5</vt:lpwstr>
  </property>
  <property fmtid="{D5CDD505-2E9C-101B-9397-08002B2CF9AE}" pid="7" name="MSIP_Label_d1524f1f-6176-4541-a517-78364e0657ce_ActionId">
    <vt:lpwstr>30f2d022-85e1-467f-9bf2-eccf73a1f75c</vt:lpwstr>
  </property>
  <property fmtid="{D5CDD505-2E9C-101B-9397-08002B2CF9AE}" pid="8" name="MSIP_Label_d1524f1f-6176-4541-a517-78364e0657ce_ContentBits">
    <vt:lpwstr>0</vt:lpwstr>
  </property>
  <property fmtid="{D5CDD505-2E9C-101B-9397-08002B2CF9AE}" pid="9" name="MSIP_Label_d1524f1f-6176-4541-a517-78364e0657ce_Tag">
    <vt:lpwstr>10, 3, 0, 1</vt:lpwstr>
  </property>
</Properties>
</file>