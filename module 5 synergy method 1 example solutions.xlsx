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Dropbox\Teaching\0.1 M&amp;A 2026 term 2\module 5 synergy\"/>
    </mc:Choice>
  </mc:AlternateContent>
  <xr:revisionPtr revIDLastSave="0" documentId="13_ncr:1_{4FC3BEF1-E523-46BC-8E6F-DD27F447EB6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andalone Values" sheetId="1" r:id="rId1"/>
    <sheet name="cost savings" sheetId="8" r:id="rId2"/>
    <sheet name="revenue enhancement" sheetId="9" r:id="rId3"/>
    <sheet name="cost of debt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1" l="1"/>
  <c r="J17" i="1"/>
  <c r="J4" i="1"/>
  <c r="P20" i="1"/>
  <c r="L20" i="1"/>
  <c r="M20" i="1"/>
  <c r="N20" i="1"/>
  <c r="O20" i="1"/>
  <c r="P20" i="8"/>
  <c r="L20" i="8"/>
  <c r="M20" i="8"/>
  <c r="N20" i="8"/>
  <c r="O20" i="8"/>
  <c r="K20" i="8"/>
  <c r="P20" i="10"/>
  <c r="L20" i="10"/>
  <c r="M20" i="10"/>
  <c r="N20" i="10"/>
  <c r="O20" i="10"/>
  <c r="K20" i="10"/>
  <c r="P20" i="9"/>
  <c r="L20" i="9"/>
  <c r="M20" i="9"/>
  <c r="N20" i="9"/>
  <c r="O20" i="9"/>
  <c r="K20" i="9"/>
  <c r="P7" i="9"/>
  <c r="F12" i="10"/>
  <c r="K37" i="10"/>
  <c r="K36" i="10"/>
  <c r="K35" i="10"/>
  <c r="K34" i="10"/>
  <c r="L34" i="10" s="1"/>
  <c r="P33" i="10"/>
  <c r="O33" i="10"/>
  <c r="N33" i="10"/>
  <c r="M33" i="10"/>
  <c r="L33" i="10"/>
  <c r="K33" i="10"/>
  <c r="J33" i="10"/>
  <c r="J30" i="10"/>
  <c r="K22" i="10"/>
  <c r="K23" i="10" s="1"/>
  <c r="K21" i="10"/>
  <c r="J17" i="10"/>
  <c r="J18" i="10" s="1"/>
  <c r="K11" i="10"/>
  <c r="K10" i="10"/>
  <c r="K9" i="10"/>
  <c r="L8" i="10"/>
  <c r="L9" i="10" s="1"/>
  <c r="K8" i="10"/>
  <c r="P7" i="10"/>
  <c r="O7" i="10"/>
  <c r="N7" i="10"/>
  <c r="M7" i="10"/>
  <c r="L7" i="10"/>
  <c r="K7" i="10"/>
  <c r="F7" i="10"/>
  <c r="J31" i="10" s="1"/>
  <c r="J4" i="10"/>
  <c r="J5" i="10" s="1"/>
  <c r="K34" i="9"/>
  <c r="K35" i="9" s="1"/>
  <c r="P33" i="9"/>
  <c r="O33" i="9"/>
  <c r="N33" i="9"/>
  <c r="M33" i="9"/>
  <c r="L33" i="9"/>
  <c r="K33" i="9"/>
  <c r="J33" i="9"/>
  <c r="J30" i="9"/>
  <c r="K21" i="9"/>
  <c r="K22" i="9" s="1"/>
  <c r="J17" i="9"/>
  <c r="J18" i="9" s="1"/>
  <c r="K11" i="9"/>
  <c r="K10" i="9"/>
  <c r="K9" i="9"/>
  <c r="L8" i="9"/>
  <c r="L9" i="9" s="1"/>
  <c r="K8" i="9"/>
  <c r="O7" i="9"/>
  <c r="N7" i="9"/>
  <c r="M7" i="9"/>
  <c r="L7" i="9"/>
  <c r="K7" i="9"/>
  <c r="F7" i="9"/>
  <c r="J31" i="9" s="1"/>
  <c r="J4" i="9"/>
  <c r="J5" i="9" s="1"/>
  <c r="F9" i="1"/>
  <c r="P36" i="8"/>
  <c r="L36" i="8"/>
  <c r="M36" i="8"/>
  <c r="N36" i="8"/>
  <c r="O36" i="8"/>
  <c r="K36" i="8"/>
  <c r="P37" i="8"/>
  <c r="P10" i="8"/>
  <c r="K23" i="8"/>
  <c r="L9" i="8"/>
  <c r="L10" i="8" s="1"/>
  <c r="M9" i="8"/>
  <c r="M10" i="8" s="1"/>
  <c r="N9" i="8"/>
  <c r="N10" i="8" s="1"/>
  <c r="O9" i="8"/>
  <c r="O10" i="8" s="1"/>
  <c r="P9" i="8"/>
  <c r="K9" i="8"/>
  <c r="K10" i="8"/>
  <c r="K24" i="1"/>
  <c r="L11" i="1"/>
  <c r="M11" i="1"/>
  <c r="N11" i="1"/>
  <c r="O11" i="1"/>
  <c r="P11" i="1"/>
  <c r="K11" i="1"/>
  <c r="K24" i="8"/>
  <c r="P10" i="1"/>
  <c r="K23" i="1"/>
  <c r="L10" i="1"/>
  <c r="M10" i="1"/>
  <c r="N10" i="1"/>
  <c r="O10" i="1"/>
  <c r="K10" i="1"/>
  <c r="K34" i="1"/>
  <c r="K21" i="1"/>
  <c r="K8" i="1"/>
  <c r="F7" i="1"/>
  <c r="P33" i="8"/>
  <c r="P7" i="8"/>
  <c r="K34" i="8"/>
  <c r="K21" i="8"/>
  <c r="K8" i="8"/>
  <c r="O33" i="8"/>
  <c r="N33" i="8"/>
  <c r="M33" i="8"/>
  <c r="L33" i="8"/>
  <c r="K33" i="8"/>
  <c r="J33" i="8"/>
  <c r="J30" i="8"/>
  <c r="J17" i="8"/>
  <c r="J18" i="8" s="1"/>
  <c r="O7" i="8"/>
  <c r="N7" i="8"/>
  <c r="M7" i="8"/>
  <c r="L7" i="8"/>
  <c r="K7" i="8"/>
  <c r="F7" i="8"/>
  <c r="J31" i="8" s="1"/>
  <c r="J4" i="8"/>
  <c r="J5" i="8" s="1"/>
  <c r="P33" i="1"/>
  <c r="L33" i="1"/>
  <c r="M33" i="1"/>
  <c r="N33" i="1"/>
  <c r="O33" i="1"/>
  <c r="L21" i="10" l="1"/>
  <c r="L35" i="10"/>
  <c r="M34" i="10"/>
  <c r="L22" i="10"/>
  <c r="M21" i="10"/>
  <c r="L10" i="10"/>
  <c r="L11" i="10" s="1"/>
  <c r="K24" i="10"/>
  <c r="M8" i="10"/>
  <c r="K23" i="9"/>
  <c r="K24" i="9" s="1"/>
  <c r="K36" i="9"/>
  <c r="K37" i="9" s="1"/>
  <c r="L10" i="9"/>
  <c r="L11" i="9" s="1"/>
  <c r="L21" i="9"/>
  <c r="L34" i="9"/>
  <c r="M8" i="9"/>
  <c r="K37" i="8"/>
  <c r="L37" i="8"/>
  <c r="M37" i="8"/>
  <c r="O37" i="8"/>
  <c r="N37" i="8"/>
  <c r="L8" i="8"/>
  <c r="M9" i="10" l="1"/>
  <c r="N8" i="10"/>
  <c r="L23" i="10"/>
  <c r="L24" i="10" s="1"/>
  <c r="M22" i="10"/>
  <c r="N21" i="10"/>
  <c r="M35" i="10"/>
  <c r="N34" i="10"/>
  <c r="L36" i="10"/>
  <c r="L37" i="10" s="1"/>
  <c r="M9" i="9"/>
  <c r="N8" i="9"/>
  <c r="L35" i="9"/>
  <c r="M34" i="9"/>
  <c r="L22" i="9"/>
  <c r="M21" i="9"/>
  <c r="K11" i="8"/>
  <c r="M8" i="8"/>
  <c r="L11" i="8"/>
  <c r="K22" i="8"/>
  <c r="L21" i="8"/>
  <c r="M36" i="10" l="1"/>
  <c r="M37" i="10" s="1"/>
  <c r="O8" i="10"/>
  <c r="N9" i="10"/>
  <c r="N35" i="10"/>
  <c r="O34" i="10"/>
  <c r="N22" i="10"/>
  <c r="O21" i="10"/>
  <c r="M10" i="10"/>
  <c r="M11" i="10" s="1"/>
  <c r="M23" i="10"/>
  <c r="M24" i="10" s="1"/>
  <c r="M35" i="9"/>
  <c r="N34" i="9"/>
  <c r="M22" i="9"/>
  <c r="N21" i="9"/>
  <c r="M10" i="9"/>
  <c r="M11" i="9" s="1"/>
  <c r="L23" i="9"/>
  <c r="L24" i="9" s="1"/>
  <c r="L36" i="9"/>
  <c r="L37" i="9" s="1"/>
  <c r="O8" i="9"/>
  <c r="N9" i="9"/>
  <c r="L22" i="8"/>
  <c r="M21" i="8"/>
  <c r="N8" i="8"/>
  <c r="M11" i="8"/>
  <c r="K35" i="8"/>
  <c r="L34" i="8"/>
  <c r="L23" i="8" l="1"/>
  <c r="L24" i="8"/>
  <c r="O22" i="10"/>
  <c r="P21" i="10"/>
  <c r="P22" i="10" s="1"/>
  <c r="P34" i="10"/>
  <c r="P35" i="10" s="1"/>
  <c r="O35" i="10"/>
  <c r="N36" i="10"/>
  <c r="N37" i="10" s="1"/>
  <c r="P8" i="10"/>
  <c r="P9" i="10" s="1"/>
  <c r="O9" i="10"/>
  <c r="N23" i="10"/>
  <c r="N24" i="10" s="1"/>
  <c r="N10" i="10"/>
  <c r="N11" i="10" s="1"/>
  <c r="N10" i="9"/>
  <c r="N11" i="9" s="1"/>
  <c r="M36" i="9"/>
  <c r="M37" i="9" s="1"/>
  <c r="P8" i="9"/>
  <c r="P9" i="9" s="1"/>
  <c r="O9" i="9"/>
  <c r="N22" i="9"/>
  <c r="O21" i="9"/>
  <c r="M23" i="9"/>
  <c r="M24" i="9" s="1"/>
  <c r="N35" i="9"/>
  <c r="O34" i="9"/>
  <c r="L35" i="8"/>
  <c r="M34" i="8"/>
  <c r="O8" i="8"/>
  <c r="N11" i="8"/>
  <c r="M22" i="8"/>
  <c r="N21" i="8"/>
  <c r="M23" i="8" l="1"/>
  <c r="M24" i="8"/>
  <c r="P10" i="10"/>
  <c r="P11" i="10"/>
  <c r="O12" i="10" s="1"/>
  <c r="P36" i="10"/>
  <c r="P37" i="10" s="1"/>
  <c r="O38" i="10" s="1"/>
  <c r="O10" i="10"/>
  <c r="O11" i="10" s="1"/>
  <c r="J13" i="10" s="1"/>
  <c r="O36" i="10"/>
  <c r="O37" i="10" s="1"/>
  <c r="J39" i="10" s="1"/>
  <c r="O23" i="10"/>
  <c r="O24" i="10" s="1"/>
  <c r="P23" i="10"/>
  <c r="P24" i="10" s="1"/>
  <c r="O25" i="10" s="1"/>
  <c r="N36" i="9"/>
  <c r="N37" i="9" s="1"/>
  <c r="O10" i="9"/>
  <c r="O11" i="9" s="1"/>
  <c r="O22" i="9"/>
  <c r="P21" i="9"/>
  <c r="P22" i="9" s="1"/>
  <c r="N23" i="9"/>
  <c r="N24" i="9" s="1"/>
  <c r="P34" i="9"/>
  <c r="P35" i="9" s="1"/>
  <c r="O35" i="9"/>
  <c r="P10" i="9"/>
  <c r="P11" i="9" s="1"/>
  <c r="O12" i="9" s="1"/>
  <c r="N22" i="8"/>
  <c r="N23" i="8" s="1"/>
  <c r="N24" i="8" s="1"/>
  <c r="O21" i="8"/>
  <c r="P8" i="8"/>
  <c r="O11" i="8"/>
  <c r="M35" i="8"/>
  <c r="N34" i="8"/>
  <c r="J26" i="10" l="1"/>
  <c r="J42" i="10" s="1"/>
  <c r="J13" i="9"/>
  <c r="O36" i="9"/>
  <c r="O37" i="9" s="1"/>
  <c r="O23" i="9"/>
  <c r="O24" i="9" s="1"/>
  <c r="P36" i="9"/>
  <c r="P37" i="9" s="1"/>
  <c r="O38" i="9" s="1"/>
  <c r="P23" i="9"/>
  <c r="P24" i="9" s="1"/>
  <c r="O25" i="9" s="1"/>
  <c r="P11" i="8"/>
  <c r="O12" i="8" s="1"/>
  <c r="J13" i="8" s="1"/>
  <c r="N35" i="8"/>
  <c r="O34" i="8"/>
  <c r="P21" i="8"/>
  <c r="P22" i="8" s="1"/>
  <c r="O22" i="8"/>
  <c r="O23" i="8" s="1"/>
  <c r="O24" i="8" s="1"/>
  <c r="P23" i="8" l="1"/>
  <c r="P24" i="8" s="1"/>
  <c r="O25" i="8" s="1"/>
  <c r="J26" i="8" s="1"/>
  <c r="J26" i="9"/>
  <c r="J39" i="9"/>
  <c r="O35" i="8"/>
  <c r="P34" i="8"/>
  <c r="P35" i="8" s="1"/>
  <c r="O38" i="8" s="1"/>
  <c r="J42" i="9" l="1"/>
  <c r="J39" i="8"/>
  <c r="J42" i="8" s="1"/>
  <c r="P7" i="1"/>
  <c r="L7" i="1"/>
  <c r="M7" i="1"/>
  <c r="N7" i="1"/>
  <c r="O7" i="1"/>
  <c r="J5" i="1"/>
  <c r="J18" i="1" l="1"/>
  <c r="J31" i="1" l="1"/>
  <c r="L34" i="1" l="1"/>
  <c r="M34" i="1" s="1"/>
  <c r="L8" i="1"/>
  <c r="M8" i="1" s="1"/>
  <c r="N8" i="1" s="1"/>
  <c r="O8" i="1" s="1"/>
  <c r="P8" i="1" s="1"/>
  <c r="L21" i="1"/>
  <c r="K22" i="1"/>
  <c r="K9" i="1"/>
  <c r="N34" i="1" l="1"/>
  <c r="M35" i="1"/>
  <c r="K35" i="1"/>
  <c r="L35" i="1"/>
  <c r="L9" i="1"/>
  <c r="M21" i="1"/>
  <c r="L22" i="1"/>
  <c r="L23" i="1" l="1"/>
  <c r="L24" i="1"/>
  <c r="M36" i="1"/>
  <c r="L36" i="1"/>
  <c r="L37" i="1" s="1"/>
  <c r="O34" i="1"/>
  <c r="N35" i="1"/>
  <c r="K36" i="1"/>
  <c r="M9" i="1"/>
  <c r="M22" i="1"/>
  <c r="N21" i="1"/>
  <c r="M23" i="1" l="1"/>
  <c r="M24" i="1" s="1"/>
  <c r="P34" i="1"/>
  <c r="P35" i="1" s="1"/>
  <c r="O35" i="1"/>
  <c r="N36" i="1"/>
  <c r="K37" i="1"/>
  <c r="M37" i="1"/>
  <c r="N9" i="1"/>
  <c r="N22" i="1"/>
  <c r="O21" i="1"/>
  <c r="N23" i="1" l="1"/>
  <c r="N24" i="1"/>
  <c r="N37" i="1"/>
  <c r="O36" i="1"/>
  <c r="P36" i="1"/>
  <c r="P37" i="1" s="1"/>
  <c r="O38" i="1" s="1"/>
  <c r="O9" i="1"/>
  <c r="P9" i="1"/>
  <c r="P21" i="1"/>
  <c r="P22" i="1" s="1"/>
  <c r="O22" i="1"/>
  <c r="O23" i="1" l="1"/>
  <c r="O24" i="1"/>
  <c r="P23" i="1"/>
  <c r="P24" i="1" s="1"/>
  <c r="O25" i="1" s="1"/>
  <c r="O37" i="1"/>
  <c r="J39" i="1"/>
  <c r="O12" i="1"/>
  <c r="J13" i="1" l="1"/>
  <c r="J26" i="1"/>
  <c r="J42" i="1" l="1"/>
</calcChain>
</file>

<file path=xl/sharedStrings.xml><?xml version="1.0" encoding="utf-8"?>
<sst xmlns="http://schemas.openxmlformats.org/spreadsheetml/2006/main" count="339" uniqueCount="52">
  <si>
    <t>Target</t>
  </si>
  <si>
    <t>Equity Beta</t>
  </si>
  <si>
    <t>Tax Rate</t>
  </si>
  <si>
    <t>Firm Information</t>
  </si>
  <si>
    <t>Item</t>
  </si>
  <si>
    <t>Categories</t>
  </si>
  <si>
    <t>Market Information</t>
  </si>
  <si>
    <t>Risk-free Rate</t>
  </si>
  <si>
    <t>Market-risk Premium</t>
  </si>
  <si>
    <t>Formula</t>
  </si>
  <si>
    <r>
      <t>=R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+β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*MRP</t>
    </r>
  </si>
  <si>
    <r>
      <t>=W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*R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+W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*R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*(1-T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</t>
    </r>
  </si>
  <si>
    <t>1.Cost of Equity</t>
  </si>
  <si>
    <t>2.WACC</t>
  </si>
  <si>
    <t>3. Period</t>
  </si>
  <si>
    <t xml:space="preserve">Model Setup </t>
  </si>
  <si>
    <t>Combined</t>
  </si>
  <si>
    <t>(No synergies)</t>
  </si>
  <si>
    <t>Combined (No Synergies)</t>
  </si>
  <si>
    <t>Acquirer</t>
  </si>
  <si>
    <r>
      <t>Weight of Debt (W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</si>
  <si>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r>
      <t>Cost of Debt (R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</si>
  <si>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=FCFF/(WACC - g)</t>
  </si>
  <si>
    <t>=PV of Near-Term Cash Flows + PV Terminal Value</t>
  </si>
  <si>
    <t>4. EBIT Growth Rate</t>
  </si>
  <si>
    <t>5. EBIT</t>
  </si>
  <si>
    <t>=Previous EBIT * (1+ Item 4)</t>
  </si>
  <si>
    <r>
      <t>6. EBIT*(1-T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</t>
    </r>
  </si>
  <si>
    <r>
      <t>=Item6 * (1 - T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</t>
    </r>
  </si>
  <si>
    <t>7. CapExp- Dep.&amp; Amort. + ∆NWC</t>
  </si>
  <si>
    <t>8. FCFF</t>
  </si>
  <si>
    <t>=Item 6 - Item 7</t>
  </si>
  <si>
    <t>9.Terminal Value</t>
  </si>
  <si>
    <t>=Previous EBIT * (1+ Item 5)</t>
  </si>
  <si>
    <t>(synergies included)</t>
  </si>
  <si>
    <t>Combined ( Synergies Included)</t>
  </si>
  <si>
    <t>Synergies</t>
  </si>
  <si>
    <t>EBIT @ t = 1</t>
  </si>
  <si>
    <t>Net Reinvestment Rate</t>
  </si>
  <si>
    <t>Near-Term FCFF Assumptions (Yr1 - Yr5)</t>
  </si>
  <si>
    <t xml:space="preserve">EBIT Growth Rate </t>
  </si>
  <si>
    <t xml:space="preserve">Long-term EBIT Growth Rate </t>
  </si>
  <si>
    <t xml:space="preserve">Market Information </t>
  </si>
  <si>
    <t>Long-Term FCFF Assumptions (after Yr5)</t>
  </si>
  <si>
    <t>Perpetual FCFF Assumptions (after Yr5)</t>
  </si>
  <si>
    <t>Value of "Hard Synergies"</t>
  </si>
  <si>
    <t>=With Synergies - Without Synergies</t>
  </si>
  <si>
    <t>Value of  "Soft Synergies"</t>
  </si>
  <si>
    <t>Value of "Financial Synergies"</t>
  </si>
  <si>
    <t>10. Value of total assets (total firm value)</t>
  </si>
  <si>
    <t xml:space="preserve">=Item 6 * Net Reinvestment Rate </t>
  </si>
  <si>
    <r>
      <t>=Item 5* (1 - T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</si>
</sst>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00%"/>
    <numFmt numFmtId="166" formatCode="0.00000000000000%"/>
    <numFmt numFmtId="167" formatCode="0.0"/>
    <numFmt numFmtId="168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0" fillId="0" borderId="6" xfId="0" applyBorder="1"/>
    <xf numFmtId="0" fontId="0" fillId="0" borderId="8" xfId="0" applyBorder="1"/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43" fontId="0" fillId="0" borderId="0" xfId="1" applyFont="1"/>
    <xf numFmtId="0" fontId="0" fillId="0" borderId="7" xfId="0" applyBorder="1" applyAlignment="1">
      <alignment horizontal="left"/>
    </xf>
    <xf numFmtId="0" fontId="0" fillId="0" borderId="0" xfId="0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0" xfId="0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quotePrefix="1" applyFill="1" applyBorder="1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10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0" fontId="0" fillId="0" borderId="16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5" xfId="0" applyBorder="1"/>
    <xf numFmtId="167" fontId="0" fillId="2" borderId="5" xfId="0" applyNumberFormat="1" applyFill="1" applyBorder="1" applyAlignment="1">
      <alignment horizontal="center"/>
    </xf>
    <xf numFmtId="167" fontId="0" fillId="0" borderId="0" xfId="0" applyNumberFormat="1"/>
    <xf numFmtId="0" fontId="2" fillId="5" borderId="8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 vertical="center"/>
    </xf>
    <xf numFmtId="0" fontId="0" fillId="0" borderId="16" xfId="0" applyBorder="1"/>
    <xf numFmtId="0" fontId="2" fillId="0" borderId="16" xfId="0" applyFont="1" applyBorder="1" applyAlignment="1">
      <alignment horizontal="center"/>
    </xf>
    <xf numFmtId="0" fontId="2" fillId="0" borderId="0" xfId="0" quotePrefix="1" applyFont="1"/>
    <xf numFmtId="9" fontId="0" fillId="0" borderId="14" xfId="0" applyNumberFormat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0" fillId="0" borderId="7" xfId="0" applyBorder="1" applyAlignment="1">
      <alignment vertical="center"/>
    </xf>
    <xf numFmtId="9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165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17" xfId="0" applyBorder="1"/>
    <xf numFmtId="0" fontId="2" fillId="0" borderId="18" xfId="0" applyFont="1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10" fontId="0" fillId="0" borderId="18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19" xfId="0" applyBorder="1"/>
    <xf numFmtId="168" fontId="0" fillId="0" borderId="18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165" fontId="0" fillId="0" borderId="12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2" fontId="0" fillId="0" borderId="0" xfId="0" applyNumberFormat="1" applyAlignment="1">
      <alignment horizontal="center"/>
    </xf>
    <xf numFmtId="0" fontId="0" fillId="6" borderId="12" xfId="0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9" fontId="0" fillId="6" borderId="8" xfId="0" applyNumberFormat="1" applyFill="1" applyBorder="1" applyAlignment="1">
      <alignment horizontal="center" vertical="center"/>
    </xf>
    <xf numFmtId="167" fontId="2" fillId="0" borderId="0" xfId="0" applyNumberFormat="1" applyFont="1"/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0" fillId="0" borderId="8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2"/>
  <sheetViews>
    <sheetView tabSelected="1" topLeftCell="B1" workbookViewId="0">
      <selection activeCell="J31" sqref="J31"/>
    </sheetView>
  </sheetViews>
  <sheetFormatPr defaultRowHeight="14.4" x14ac:dyDescent="0.3"/>
  <cols>
    <col min="2" max="2" width="26" style="12" bestFit="1" customWidth="1"/>
    <col min="3" max="3" width="34.88671875" bestFit="1" customWidth="1"/>
    <col min="4" max="5" width="12.88671875" style="10" customWidth="1"/>
    <col min="6" max="6" width="18" style="10" bestFit="1" customWidth="1"/>
    <col min="8" max="8" width="29" bestFit="1" customWidth="1"/>
    <col min="9" max="9" width="44.21875" bestFit="1" customWidth="1"/>
    <col min="10" max="10" width="10.5546875" customWidth="1"/>
    <col min="11" max="14" width="9.44140625" customWidth="1"/>
    <col min="15" max="15" width="9.44140625" style="31" customWidth="1"/>
    <col min="16" max="16" width="9.44140625" customWidth="1"/>
  </cols>
  <sheetData>
    <row r="1" spans="2:16" ht="15" thickBot="1" x14ac:dyDescent="0.35"/>
    <row r="2" spans="2:16" x14ac:dyDescent="0.3">
      <c r="B2" s="69" t="s">
        <v>15</v>
      </c>
      <c r="C2" s="70"/>
      <c r="D2" s="70"/>
      <c r="E2" s="70"/>
      <c r="F2" s="71"/>
      <c r="H2" s="72" t="s">
        <v>19</v>
      </c>
      <c r="I2" s="73"/>
      <c r="J2" s="73"/>
      <c r="K2" s="73"/>
      <c r="L2" s="73"/>
      <c r="M2" s="73"/>
      <c r="N2" s="73"/>
      <c r="O2" s="73"/>
      <c r="P2" s="74"/>
    </row>
    <row r="3" spans="2:16" x14ac:dyDescent="0.3">
      <c r="B3" s="75" t="s">
        <v>5</v>
      </c>
      <c r="C3" s="77" t="s">
        <v>4</v>
      </c>
      <c r="D3" s="79" t="s">
        <v>19</v>
      </c>
      <c r="E3" s="81" t="s">
        <v>0</v>
      </c>
      <c r="F3" s="28" t="s">
        <v>16</v>
      </c>
      <c r="H3" s="14" t="s">
        <v>4</v>
      </c>
      <c r="I3" s="15" t="s">
        <v>9</v>
      </c>
      <c r="J3" s="59"/>
      <c r="K3" s="59"/>
      <c r="L3" s="59"/>
      <c r="M3" s="59"/>
      <c r="N3" s="59"/>
      <c r="O3" s="32"/>
      <c r="P3" s="13"/>
    </row>
    <row r="4" spans="2:16" ht="15.6" x14ac:dyDescent="0.35">
      <c r="B4" s="76"/>
      <c r="C4" s="78"/>
      <c r="D4" s="80"/>
      <c r="E4" s="82"/>
      <c r="F4" s="29" t="s">
        <v>17</v>
      </c>
      <c r="H4" s="9" t="s">
        <v>12</v>
      </c>
      <c r="I4" s="60" t="s">
        <v>10</v>
      </c>
      <c r="J4" s="56">
        <f>D14+D5*D15</f>
        <v>9.0000000000000011E-2</v>
      </c>
      <c r="P4" s="2"/>
    </row>
    <row r="5" spans="2:16" ht="15.6" x14ac:dyDescent="0.35">
      <c r="B5" s="85" t="s">
        <v>3</v>
      </c>
      <c r="C5" s="4" t="s">
        <v>1</v>
      </c>
      <c r="D5" s="6">
        <v>1</v>
      </c>
      <c r="E5" s="6">
        <v>1</v>
      </c>
      <c r="F5" s="51">
        <v>1</v>
      </c>
      <c r="H5" s="9" t="s">
        <v>13</v>
      </c>
      <c r="I5" s="60" t="s">
        <v>11</v>
      </c>
      <c r="J5" s="56">
        <f>D8*D6*(1-D7)+(1-D8)*J4</f>
        <v>8.450000000000002E-2</v>
      </c>
      <c r="P5" s="2"/>
    </row>
    <row r="6" spans="2:16" ht="15.6" x14ac:dyDescent="0.3">
      <c r="B6" s="86"/>
      <c r="C6" s="52" t="s">
        <v>21</v>
      </c>
      <c r="D6" s="53">
        <v>0.05</v>
      </c>
      <c r="E6" s="53">
        <v>0.05</v>
      </c>
      <c r="F6" s="54">
        <v>0.05</v>
      </c>
      <c r="H6" s="9" t="s">
        <v>14</v>
      </c>
      <c r="I6" s="12"/>
      <c r="J6" s="10">
        <v>0</v>
      </c>
      <c r="K6" s="10">
        <v>1</v>
      </c>
      <c r="L6" s="10">
        <v>2</v>
      </c>
      <c r="M6" s="10">
        <v>3</v>
      </c>
      <c r="N6" s="10">
        <v>4</v>
      </c>
      <c r="O6" s="22">
        <v>5</v>
      </c>
      <c r="P6" s="19">
        <v>6</v>
      </c>
    </row>
    <row r="7" spans="2:16" x14ac:dyDescent="0.3">
      <c r="B7" s="86"/>
      <c r="C7" s="52" t="s">
        <v>2</v>
      </c>
      <c r="D7" s="53">
        <v>0.3</v>
      </c>
      <c r="E7" s="53">
        <v>0.3</v>
      </c>
      <c r="F7" s="54">
        <f>30%</f>
        <v>0.3</v>
      </c>
      <c r="H7" s="9" t="s">
        <v>24</v>
      </c>
      <c r="I7" s="60"/>
      <c r="J7" s="56"/>
      <c r="K7" s="56"/>
      <c r="L7" s="56">
        <f t="shared" ref="L7:O7" si="0">$D$10</f>
        <v>7.3499999999999996E-2</v>
      </c>
      <c r="M7" s="56">
        <f t="shared" si="0"/>
        <v>7.3499999999999996E-2</v>
      </c>
      <c r="N7" s="56">
        <f t="shared" si="0"/>
        <v>7.3499999999999996E-2</v>
      </c>
      <c r="O7" s="23">
        <f t="shared" si="0"/>
        <v>7.3499999999999996E-2</v>
      </c>
      <c r="P7" s="20">
        <f>D12</f>
        <v>4.8399999999999999E-2</v>
      </c>
    </row>
    <row r="8" spans="2:16" ht="15.6" x14ac:dyDescent="0.3">
      <c r="B8" s="87"/>
      <c r="C8" s="5" t="s">
        <v>20</v>
      </c>
      <c r="D8" s="7">
        <v>0.1</v>
      </c>
      <c r="E8" s="7">
        <v>0.1</v>
      </c>
      <c r="F8" s="55">
        <v>0.1</v>
      </c>
      <c r="H8" s="9" t="s">
        <v>25</v>
      </c>
      <c r="I8" s="60" t="s">
        <v>26</v>
      </c>
      <c r="J8" s="10"/>
      <c r="K8" s="61">
        <f>D9</f>
        <v>50</v>
      </c>
      <c r="L8" s="61">
        <f t="shared" ref="L8" si="1">K8*(1+L7)</f>
        <v>53.674999999999997</v>
      </c>
      <c r="M8" s="61">
        <f t="shared" ref="M8" si="2">L8*(1+M7)</f>
        <v>57.620112499999991</v>
      </c>
      <c r="N8" s="61">
        <f t="shared" ref="N8" si="3">M8*(1+N7)</f>
        <v>61.855190768749985</v>
      </c>
      <c r="O8" s="24">
        <f t="shared" ref="O8" si="4">N8*(1+O7)</f>
        <v>66.401547290253106</v>
      </c>
      <c r="P8" s="21">
        <f t="shared" ref="P8" si="5">O8*(1+P7)</f>
        <v>69.61538217910136</v>
      </c>
    </row>
    <row r="9" spans="2:16" ht="14.4" customHeight="1" x14ac:dyDescent="0.35">
      <c r="B9" s="83" t="s">
        <v>39</v>
      </c>
      <c r="C9" s="4" t="s">
        <v>37</v>
      </c>
      <c r="D9" s="6">
        <v>50</v>
      </c>
      <c r="E9" s="6">
        <v>25</v>
      </c>
      <c r="F9" s="51">
        <f>D9+E9</f>
        <v>75</v>
      </c>
      <c r="H9" s="9" t="s">
        <v>27</v>
      </c>
      <c r="I9" s="60" t="s">
        <v>28</v>
      </c>
      <c r="J9" s="10"/>
      <c r="K9" s="10">
        <f t="shared" ref="K9:P9" si="6">K8*(1-$D$7)</f>
        <v>35</v>
      </c>
      <c r="L9" s="10">
        <f t="shared" si="6"/>
        <v>37.572499999999998</v>
      </c>
      <c r="M9" s="10">
        <f t="shared" si="6"/>
        <v>40.334078749999989</v>
      </c>
      <c r="N9" s="10">
        <f t="shared" si="6"/>
        <v>43.298633538124989</v>
      </c>
      <c r="O9" s="22">
        <f t="shared" si="6"/>
        <v>46.48108310317717</v>
      </c>
      <c r="P9" s="19">
        <f t="shared" si="6"/>
        <v>48.73076752537095</v>
      </c>
    </row>
    <row r="10" spans="2:16" x14ac:dyDescent="0.3">
      <c r="B10" s="88"/>
      <c r="C10" s="12" t="s">
        <v>40</v>
      </c>
      <c r="D10" s="56">
        <v>7.3499999999999996E-2</v>
      </c>
      <c r="E10" s="56">
        <v>7.3499999999999996E-2</v>
      </c>
      <c r="F10" s="20">
        <v>7.3499999999999996E-2</v>
      </c>
      <c r="H10" s="9" t="s">
        <v>29</v>
      </c>
      <c r="I10" s="60" t="s">
        <v>50</v>
      </c>
      <c r="J10" s="10"/>
      <c r="K10" s="10">
        <f>$D$11*K9</f>
        <v>24.5</v>
      </c>
      <c r="L10" s="10">
        <f t="shared" ref="L10:O10" si="7">$D$11*L9</f>
        <v>26.300749999999997</v>
      </c>
      <c r="M10" s="10">
        <f t="shared" si="7"/>
        <v>28.233855124999991</v>
      </c>
      <c r="N10" s="10">
        <f t="shared" si="7"/>
        <v>30.309043476687489</v>
      </c>
      <c r="O10" s="22">
        <f t="shared" si="7"/>
        <v>32.536758172224019</v>
      </c>
      <c r="P10" s="19">
        <f>$D$13*P9</f>
        <v>27.932475945542631</v>
      </c>
    </row>
    <row r="11" spans="2:16" x14ac:dyDescent="0.3">
      <c r="B11" s="84"/>
      <c r="C11" s="5" t="s">
        <v>38</v>
      </c>
      <c r="D11" s="37">
        <v>0.7</v>
      </c>
      <c r="E11" s="37">
        <v>0.7</v>
      </c>
      <c r="F11" s="34">
        <v>0.7</v>
      </c>
      <c r="H11" s="9" t="s">
        <v>30</v>
      </c>
      <c r="I11" s="60" t="s">
        <v>31</v>
      </c>
      <c r="J11" s="10"/>
      <c r="K11" s="10">
        <f>K9-K10</f>
        <v>10.5</v>
      </c>
      <c r="L11" s="10">
        <f t="shared" ref="L11:P11" si="8">L9-L10</f>
        <v>11.271750000000001</v>
      </c>
      <c r="M11" s="10">
        <f t="shared" si="8"/>
        <v>12.100223624999998</v>
      </c>
      <c r="N11" s="10">
        <f t="shared" si="8"/>
        <v>12.9895900614375</v>
      </c>
      <c r="O11" s="22">
        <f t="shared" si="8"/>
        <v>13.944324930953151</v>
      </c>
      <c r="P11" s="19">
        <f t="shared" si="8"/>
        <v>20.798291579828319</v>
      </c>
    </row>
    <row r="12" spans="2:16" x14ac:dyDescent="0.3">
      <c r="B12" s="83" t="s">
        <v>44</v>
      </c>
      <c r="C12" s="38" t="s">
        <v>41</v>
      </c>
      <c r="D12" s="39">
        <v>4.8399999999999999E-2</v>
      </c>
      <c r="E12" s="39">
        <v>4.8399999999999999E-2</v>
      </c>
      <c r="F12" s="57">
        <v>4.8399999999999999E-2</v>
      </c>
      <c r="H12" s="9" t="s">
        <v>32</v>
      </c>
      <c r="I12" s="60" t="s">
        <v>22</v>
      </c>
      <c r="J12" s="10"/>
      <c r="O12" s="24">
        <f>P11/(J5-P7)</f>
        <v>576.12996066006394</v>
      </c>
      <c r="P12" s="2"/>
    </row>
    <row r="13" spans="2:16" ht="15" customHeight="1" thickBot="1" x14ac:dyDescent="0.35">
      <c r="B13" s="84"/>
      <c r="C13" s="5" t="s">
        <v>38</v>
      </c>
      <c r="D13" s="40">
        <v>0.57320000000000004</v>
      </c>
      <c r="E13" s="40">
        <v>0.57320000000000004</v>
      </c>
      <c r="F13" s="58">
        <v>0.57320000000000004</v>
      </c>
      <c r="H13" s="16" t="s">
        <v>49</v>
      </c>
      <c r="I13" s="17" t="s">
        <v>23</v>
      </c>
      <c r="J13" s="26">
        <f>K11/(1+J5)^K6+L11/(1+J5)^L6+M11/(1+J5)^M6+N11/(1+J5)^N6+O11/(1+J5)^O6+O12/(1+J5)^O6</f>
        <v>431.47394517788854</v>
      </c>
      <c r="K13" s="11"/>
      <c r="L13" s="11"/>
      <c r="M13" s="11"/>
      <c r="N13" s="11"/>
      <c r="O13" s="25"/>
      <c r="P13" s="1"/>
    </row>
    <row r="14" spans="2:16" ht="15" customHeight="1" thickBot="1" x14ac:dyDescent="0.35">
      <c r="B14" s="36" t="s">
        <v>6</v>
      </c>
      <c r="C14" s="52" t="s">
        <v>7</v>
      </c>
      <c r="D14" s="89">
        <v>0.02</v>
      </c>
      <c r="E14" s="89"/>
      <c r="F14" s="90"/>
      <c r="J14" s="8"/>
    </row>
    <row r="15" spans="2:16" ht="15" thickBot="1" x14ac:dyDescent="0.35">
      <c r="B15" s="41"/>
      <c r="C15" s="3" t="s">
        <v>8</v>
      </c>
      <c r="D15" s="91">
        <v>7.0000000000000007E-2</v>
      </c>
      <c r="E15" s="91"/>
      <c r="F15" s="92"/>
      <c r="H15" s="93" t="s">
        <v>0</v>
      </c>
      <c r="I15" s="94"/>
      <c r="J15" s="94"/>
      <c r="K15" s="94"/>
      <c r="L15" s="94"/>
      <c r="M15" s="94"/>
      <c r="N15" s="94"/>
      <c r="O15" s="94"/>
      <c r="P15" s="95"/>
    </row>
    <row r="16" spans="2:16" x14ac:dyDescent="0.3">
      <c r="H16" s="14" t="s">
        <v>4</v>
      </c>
      <c r="I16" s="15" t="s">
        <v>9</v>
      </c>
      <c r="J16" s="59"/>
      <c r="K16" s="59"/>
      <c r="L16" s="59"/>
      <c r="M16" s="59"/>
      <c r="N16" s="59"/>
      <c r="O16" s="32"/>
      <c r="P16" s="13"/>
    </row>
    <row r="17" spans="4:16" ht="15.6" x14ac:dyDescent="0.35">
      <c r="H17" s="9" t="s">
        <v>12</v>
      </c>
      <c r="I17" s="60" t="s">
        <v>10</v>
      </c>
      <c r="J17" s="56">
        <f>D14+E5*D15</f>
        <v>9.0000000000000011E-2</v>
      </c>
      <c r="P17" s="2"/>
    </row>
    <row r="18" spans="4:16" ht="15.6" x14ac:dyDescent="0.35">
      <c r="D18" s="18"/>
      <c r="H18" s="9" t="s">
        <v>13</v>
      </c>
      <c r="I18" s="60" t="s">
        <v>11</v>
      </c>
      <c r="J18" s="56">
        <f>(1-E8)*J17+E8*E6*(1-E7)</f>
        <v>8.450000000000002E-2</v>
      </c>
      <c r="P18" s="2"/>
    </row>
    <row r="19" spans="4:16" x14ac:dyDescent="0.3">
      <c r="H19" s="9" t="s">
        <v>14</v>
      </c>
      <c r="I19" s="12"/>
      <c r="J19" s="10">
        <v>0</v>
      </c>
      <c r="K19" s="10">
        <v>1</v>
      </c>
      <c r="L19" s="10">
        <v>2</v>
      </c>
      <c r="M19" s="10">
        <v>3</v>
      </c>
      <c r="N19" s="10">
        <v>4</v>
      </c>
      <c r="O19" s="22">
        <v>5</v>
      </c>
      <c r="P19" s="19">
        <v>6</v>
      </c>
    </row>
    <row r="20" spans="4:16" x14ac:dyDescent="0.3">
      <c r="H20" s="9" t="s">
        <v>24</v>
      </c>
      <c r="I20" s="60"/>
      <c r="J20" s="56"/>
      <c r="K20" s="56"/>
      <c r="L20" s="56">
        <f t="shared" ref="L20:O20" si="9">$E$10</f>
        <v>7.3499999999999996E-2</v>
      </c>
      <c r="M20" s="56">
        <f t="shared" si="9"/>
        <v>7.3499999999999996E-2</v>
      </c>
      <c r="N20" s="56">
        <f t="shared" si="9"/>
        <v>7.3499999999999996E-2</v>
      </c>
      <c r="O20" s="23">
        <f t="shared" si="9"/>
        <v>7.3499999999999996E-2</v>
      </c>
      <c r="P20" s="20">
        <f>E12</f>
        <v>4.8399999999999999E-2</v>
      </c>
    </row>
    <row r="21" spans="4:16" x14ac:dyDescent="0.3">
      <c r="H21" s="9" t="s">
        <v>25</v>
      </c>
      <c r="I21" s="60" t="s">
        <v>33</v>
      </c>
      <c r="J21" s="10"/>
      <c r="K21" s="61">
        <f>E9</f>
        <v>25</v>
      </c>
      <c r="L21" s="61">
        <f t="shared" ref="L21:P21" si="10">K21*(1+L20)</f>
        <v>26.837499999999999</v>
      </c>
      <c r="M21" s="61">
        <f t="shared" si="10"/>
        <v>28.810056249999995</v>
      </c>
      <c r="N21" s="61">
        <f t="shared" si="10"/>
        <v>30.927595384374992</v>
      </c>
      <c r="O21" s="24">
        <f t="shared" si="10"/>
        <v>33.200773645126553</v>
      </c>
      <c r="P21" s="21">
        <f t="shared" si="10"/>
        <v>34.80769108955068</v>
      </c>
    </row>
    <row r="22" spans="4:16" ht="15.6" x14ac:dyDescent="0.35">
      <c r="H22" s="9" t="s">
        <v>27</v>
      </c>
      <c r="I22" s="60" t="s">
        <v>51</v>
      </c>
      <c r="J22" s="10"/>
      <c r="K22" s="10">
        <f t="shared" ref="K22:P22" si="11">K21*(1-$E$7)</f>
        <v>17.5</v>
      </c>
      <c r="L22" s="10">
        <f t="shared" si="11"/>
        <v>18.786249999999999</v>
      </c>
      <c r="M22" s="10">
        <f t="shared" si="11"/>
        <v>20.167039374999995</v>
      </c>
      <c r="N22" s="10">
        <f t="shared" si="11"/>
        <v>21.649316769062494</v>
      </c>
      <c r="O22" s="22">
        <f t="shared" si="11"/>
        <v>23.240541551588585</v>
      </c>
      <c r="P22" s="19">
        <f t="shared" si="11"/>
        <v>24.365383762685475</v>
      </c>
    </row>
    <row r="23" spans="4:16" x14ac:dyDescent="0.3">
      <c r="H23" s="9" t="s">
        <v>29</v>
      </c>
      <c r="I23" s="60"/>
      <c r="J23" s="10"/>
      <c r="K23" s="10">
        <f>$E$11*K22</f>
        <v>12.25</v>
      </c>
      <c r="L23" s="10">
        <f t="shared" ref="L23:O23" si="12">$E$11*L22</f>
        <v>13.150374999999999</v>
      </c>
      <c r="M23" s="10">
        <f t="shared" si="12"/>
        <v>14.116927562499995</v>
      </c>
      <c r="N23" s="10">
        <f t="shared" si="12"/>
        <v>15.154521738343744</v>
      </c>
      <c r="O23" s="22">
        <f t="shared" si="12"/>
        <v>16.268379086112009</v>
      </c>
      <c r="P23" s="19">
        <f>$E$13*P22</f>
        <v>13.966237972771316</v>
      </c>
    </row>
    <row r="24" spans="4:16" x14ac:dyDescent="0.3">
      <c r="H24" s="9" t="s">
        <v>30</v>
      </c>
      <c r="I24" s="60" t="s">
        <v>31</v>
      </c>
      <c r="J24" s="10"/>
      <c r="K24" s="10">
        <f>K22-K23</f>
        <v>5.25</v>
      </c>
      <c r="L24" s="10">
        <f t="shared" ref="L24:P24" si="13">L22-L23</f>
        <v>5.6358750000000004</v>
      </c>
      <c r="M24" s="10">
        <f t="shared" si="13"/>
        <v>6.0501118124999991</v>
      </c>
      <c r="N24" s="10">
        <f t="shared" si="13"/>
        <v>6.4947950307187501</v>
      </c>
      <c r="O24" s="22">
        <f t="shared" si="13"/>
        <v>6.9721624654765755</v>
      </c>
      <c r="P24" s="19">
        <f t="shared" si="13"/>
        <v>10.39914578991416</v>
      </c>
    </row>
    <row r="25" spans="4:16" x14ac:dyDescent="0.3">
      <c r="H25" s="9" t="s">
        <v>32</v>
      </c>
      <c r="I25" s="60" t="s">
        <v>22</v>
      </c>
      <c r="J25" s="10"/>
      <c r="O25" s="24">
        <f>P24/(J18-P20)</f>
        <v>288.06498033003197</v>
      </c>
      <c r="P25" s="2"/>
    </row>
    <row r="26" spans="4:16" ht="15" thickBot="1" x14ac:dyDescent="0.35">
      <c r="H26" s="16" t="s">
        <v>49</v>
      </c>
      <c r="I26" s="17" t="s">
        <v>23</v>
      </c>
      <c r="J26" s="26">
        <f>K24/(1+J18)^K19+L24/(1+J18)^L19+M24/(1+J18)^M19+N24/(1+J18)^N19+O24/(1+J18)^O19+O25/(1+J18)^O19</f>
        <v>215.73697258894427</v>
      </c>
      <c r="K26" s="11"/>
      <c r="L26" s="11"/>
      <c r="M26" s="11"/>
      <c r="N26" s="11"/>
      <c r="O26" s="25"/>
      <c r="P26" s="1"/>
    </row>
    <row r="27" spans="4:16" ht="15" thickBot="1" x14ac:dyDescent="0.35"/>
    <row r="28" spans="4:16" x14ac:dyDescent="0.3">
      <c r="H28" s="96" t="s">
        <v>18</v>
      </c>
      <c r="I28" s="97"/>
      <c r="J28" s="97"/>
      <c r="K28" s="97"/>
      <c r="L28" s="97"/>
      <c r="M28" s="97"/>
      <c r="N28" s="97"/>
      <c r="O28" s="97"/>
      <c r="P28" s="98"/>
    </row>
    <row r="29" spans="4:16" x14ac:dyDescent="0.3">
      <c r="H29" s="14" t="s">
        <v>4</v>
      </c>
      <c r="I29" s="15" t="s">
        <v>9</v>
      </c>
      <c r="J29" s="59"/>
      <c r="K29" s="59"/>
      <c r="L29" s="59"/>
      <c r="M29" s="59"/>
      <c r="N29" s="59"/>
      <c r="O29" s="32"/>
      <c r="P29" s="13"/>
    </row>
    <row r="30" spans="4:16" ht="15.6" x14ac:dyDescent="0.35">
      <c r="H30" s="9" t="s">
        <v>12</v>
      </c>
      <c r="I30" s="60" t="s">
        <v>10</v>
      </c>
      <c r="J30" s="56">
        <f>D14+D15*F5</f>
        <v>9.0000000000000011E-2</v>
      </c>
      <c r="P30" s="2"/>
    </row>
    <row r="31" spans="4:16" ht="15.6" x14ac:dyDescent="0.35">
      <c r="H31" s="9" t="s">
        <v>13</v>
      </c>
      <c r="I31" s="60" t="s">
        <v>11</v>
      </c>
      <c r="J31" s="56">
        <f>F8*(1-F7)*F6+J30*(1-F8)</f>
        <v>8.450000000000002E-2</v>
      </c>
      <c r="P31" s="2"/>
    </row>
    <row r="32" spans="4:16" x14ac:dyDescent="0.3">
      <c r="H32" s="9" t="s">
        <v>14</v>
      </c>
      <c r="I32" s="12"/>
      <c r="J32" s="10">
        <v>0</v>
      </c>
      <c r="K32" s="10">
        <v>1</v>
      </c>
      <c r="L32" s="10">
        <v>2</v>
      </c>
      <c r="M32" s="10">
        <v>3</v>
      </c>
      <c r="N32" s="10">
        <v>4</v>
      </c>
      <c r="O32" s="22">
        <v>5</v>
      </c>
      <c r="P32" s="19">
        <v>6</v>
      </c>
    </row>
    <row r="33" spans="8:16" x14ac:dyDescent="0.3">
      <c r="H33" s="9" t="s">
        <v>24</v>
      </c>
      <c r="I33" s="60"/>
      <c r="J33" s="56"/>
      <c r="K33" s="56"/>
      <c r="L33" s="56">
        <f t="shared" ref="L33:O33" si="14">$F$10</f>
        <v>7.3499999999999996E-2</v>
      </c>
      <c r="M33" s="56">
        <f t="shared" si="14"/>
        <v>7.3499999999999996E-2</v>
      </c>
      <c r="N33" s="56">
        <f t="shared" si="14"/>
        <v>7.3499999999999996E-2</v>
      </c>
      <c r="O33" s="23">
        <f t="shared" si="14"/>
        <v>7.3499999999999996E-2</v>
      </c>
      <c r="P33" s="20">
        <f>F12</f>
        <v>4.8399999999999999E-2</v>
      </c>
    </row>
    <row r="34" spans="8:16" x14ac:dyDescent="0.3">
      <c r="H34" s="9" t="s">
        <v>25</v>
      </c>
      <c r="I34" s="60" t="s">
        <v>33</v>
      </c>
      <c r="J34" s="10"/>
      <c r="K34" s="61">
        <f>F9</f>
        <v>75</v>
      </c>
      <c r="L34" s="61">
        <f t="shared" ref="L34" si="15">K34*(1+L33)</f>
        <v>80.512499999999989</v>
      </c>
      <c r="M34" s="61">
        <f t="shared" ref="M34" si="16">L34*(1+M33)</f>
        <v>86.430168749999979</v>
      </c>
      <c r="N34" s="61">
        <f t="shared" ref="N34" si="17">M34*(1+N33)</f>
        <v>92.782786153124974</v>
      </c>
      <c r="O34" s="24">
        <f t="shared" ref="O34" si="18">N34*(1+O33)</f>
        <v>99.602320935379652</v>
      </c>
      <c r="P34" s="21">
        <f t="shared" ref="P34" si="19">O34*(1+P33)</f>
        <v>104.42307326865203</v>
      </c>
    </row>
    <row r="35" spans="8:16" ht="15.6" x14ac:dyDescent="0.35">
      <c r="H35" s="9" t="s">
        <v>27</v>
      </c>
      <c r="I35" s="60" t="s">
        <v>51</v>
      </c>
      <c r="J35" s="10"/>
      <c r="K35" s="10">
        <f t="shared" ref="K35:P35" si="20">K34*(1-$D$7)</f>
        <v>52.5</v>
      </c>
      <c r="L35" s="10">
        <f t="shared" si="20"/>
        <v>56.358749999999986</v>
      </c>
      <c r="M35" s="10">
        <f t="shared" si="20"/>
        <v>60.501118124999984</v>
      </c>
      <c r="N35" s="10">
        <f t="shared" si="20"/>
        <v>64.947950307187483</v>
      </c>
      <c r="O35" s="22">
        <f t="shared" si="20"/>
        <v>69.721624654765748</v>
      </c>
      <c r="P35" s="19">
        <f t="shared" si="20"/>
        <v>73.096151288056419</v>
      </c>
    </row>
    <row r="36" spans="8:16" x14ac:dyDescent="0.3">
      <c r="H36" s="9" t="s">
        <v>29</v>
      </c>
      <c r="I36" s="60"/>
      <c r="J36" s="10"/>
      <c r="K36" s="10">
        <f>$F$11*K35</f>
        <v>36.75</v>
      </c>
      <c r="L36" s="10">
        <f t="shared" ref="L36:O36" si="21">$F$11*L35</f>
        <v>39.45112499999999</v>
      </c>
      <c r="M36" s="10">
        <f t="shared" si="21"/>
        <v>42.350782687499986</v>
      </c>
      <c r="N36" s="10">
        <f t="shared" si="21"/>
        <v>45.463565215031238</v>
      </c>
      <c r="O36" s="22">
        <f t="shared" si="21"/>
        <v>48.805137258336018</v>
      </c>
      <c r="P36" s="19">
        <f>F13*P35</f>
        <v>41.898713918313945</v>
      </c>
    </row>
    <row r="37" spans="8:16" x14ac:dyDescent="0.3">
      <c r="H37" s="9" t="s">
        <v>30</v>
      </c>
      <c r="I37" s="60" t="s">
        <v>31</v>
      </c>
      <c r="J37" s="10"/>
      <c r="K37" s="10">
        <f>K35-K36</f>
        <v>15.75</v>
      </c>
      <c r="L37" s="10">
        <f t="shared" ref="L37:P37" si="22">L35-L36</f>
        <v>16.907624999999996</v>
      </c>
      <c r="M37" s="10">
        <f t="shared" si="22"/>
        <v>18.150335437499997</v>
      </c>
      <c r="N37" s="10">
        <f t="shared" si="22"/>
        <v>19.484385092156245</v>
      </c>
      <c r="O37" s="22">
        <f t="shared" si="22"/>
        <v>20.91648739642973</v>
      </c>
      <c r="P37" s="19">
        <f t="shared" si="22"/>
        <v>31.197437369742474</v>
      </c>
    </row>
    <row r="38" spans="8:16" x14ac:dyDescent="0.3">
      <c r="H38" s="9" t="s">
        <v>32</v>
      </c>
      <c r="I38" s="60" t="s">
        <v>22</v>
      </c>
      <c r="J38" s="10"/>
      <c r="O38" s="24">
        <f>P37/(J31-P33)</f>
        <v>864.19494099009569</v>
      </c>
      <c r="P38" s="2"/>
    </row>
    <row r="39" spans="8:16" ht="15" thickBot="1" x14ac:dyDescent="0.35">
      <c r="H39" s="16" t="s">
        <v>49</v>
      </c>
      <c r="I39" s="17" t="s">
        <v>23</v>
      </c>
      <c r="J39" s="26">
        <f>K37/(1+J31)^K32+L37/(1+J31)^L32+M37/(1+J31)^M32+N37/(1+J31)^N32+O37/(1+J31)^O32+O38/(1+J31)^O32</f>
        <v>647.21091776683261</v>
      </c>
      <c r="K39" s="11"/>
      <c r="L39" s="11"/>
      <c r="M39" s="11"/>
      <c r="N39" s="11"/>
      <c r="O39" s="25"/>
      <c r="P39" s="1"/>
    </row>
    <row r="41" spans="8:16" x14ac:dyDescent="0.3">
      <c r="J41" s="27"/>
    </row>
    <row r="42" spans="8:16" x14ac:dyDescent="0.3">
      <c r="I42" t="s">
        <v>36</v>
      </c>
      <c r="J42" s="27">
        <f>J39-J13-J26</f>
        <v>0</v>
      </c>
    </row>
  </sheetData>
  <mergeCells count="13">
    <mergeCell ref="H28:P28"/>
    <mergeCell ref="H15:P15"/>
    <mergeCell ref="H2:P2"/>
    <mergeCell ref="B2:F2"/>
    <mergeCell ref="B5:B8"/>
    <mergeCell ref="B3:B4"/>
    <mergeCell ref="D14:F14"/>
    <mergeCell ref="E3:E4"/>
    <mergeCell ref="D3:D4"/>
    <mergeCell ref="C3:C4"/>
    <mergeCell ref="D15:F15"/>
    <mergeCell ref="B9:B11"/>
    <mergeCell ref="B12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C121-3861-4985-866C-F9543454D23D}">
  <dimension ref="B1:P42"/>
  <sheetViews>
    <sheetView workbookViewId="0">
      <selection activeCell="J30" sqref="J30"/>
    </sheetView>
  </sheetViews>
  <sheetFormatPr defaultRowHeight="14.4" x14ac:dyDescent="0.3"/>
  <cols>
    <col min="2" max="2" width="26" style="12" bestFit="1" customWidth="1"/>
    <col min="3" max="3" width="29.77734375" bestFit="1" customWidth="1"/>
    <col min="4" max="6" width="12.88671875" style="10" customWidth="1"/>
    <col min="8" max="8" width="35.21875" bestFit="1" customWidth="1"/>
    <col min="9" max="9" width="44.21875" bestFit="1" customWidth="1"/>
    <col min="10" max="10" width="10.5546875" customWidth="1"/>
    <col min="11" max="15" width="9.44140625" customWidth="1"/>
    <col min="16" max="16" width="9.44140625" style="43" customWidth="1"/>
  </cols>
  <sheetData>
    <row r="1" spans="2:16" ht="15" thickBot="1" x14ac:dyDescent="0.35"/>
    <row r="2" spans="2:16" x14ac:dyDescent="0.3">
      <c r="B2" s="69" t="s">
        <v>15</v>
      </c>
      <c r="C2" s="70"/>
      <c r="D2" s="70"/>
      <c r="E2" s="70"/>
      <c r="F2" s="71"/>
      <c r="H2" s="72" t="s">
        <v>19</v>
      </c>
      <c r="I2" s="73"/>
      <c r="J2" s="73"/>
      <c r="K2" s="73"/>
      <c r="L2" s="73"/>
      <c r="M2" s="73"/>
      <c r="N2" s="73"/>
      <c r="O2" s="73"/>
      <c r="P2" s="74"/>
    </row>
    <row r="3" spans="2:16" x14ac:dyDescent="0.3">
      <c r="B3" s="75" t="s">
        <v>5</v>
      </c>
      <c r="C3" s="77" t="s">
        <v>4</v>
      </c>
      <c r="D3" s="79" t="s">
        <v>19</v>
      </c>
      <c r="E3" s="81" t="s">
        <v>0</v>
      </c>
      <c r="F3" s="30" t="s">
        <v>16</v>
      </c>
      <c r="H3" s="14" t="s">
        <v>4</v>
      </c>
      <c r="I3" s="15" t="s">
        <v>9</v>
      </c>
      <c r="J3" s="59"/>
      <c r="K3" s="59"/>
      <c r="L3" s="59"/>
      <c r="M3" s="59"/>
      <c r="N3" s="59"/>
      <c r="O3" s="59"/>
      <c r="P3" s="44"/>
    </row>
    <row r="4" spans="2:16" ht="15.6" x14ac:dyDescent="0.35">
      <c r="B4" s="76"/>
      <c r="C4" s="78"/>
      <c r="D4" s="80"/>
      <c r="E4" s="82"/>
      <c r="F4" s="35" t="s">
        <v>34</v>
      </c>
      <c r="H4" s="9" t="s">
        <v>12</v>
      </c>
      <c r="I4" s="60" t="s">
        <v>10</v>
      </c>
      <c r="J4" s="56">
        <f>D14+D5*D15</f>
        <v>9.0000000000000011E-2</v>
      </c>
      <c r="P4" s="45"/>
    </row>
    <row r="5" spans="2:16" ht="15.6" x14ac:dyDescent="0.35">
      <c r="B5" s="85" t="s">
        <v>3</v>
      </c>
      <c r="C5" s="4" t="s">
        <v>1</v>
      </c>
      <c r="D5" s="6">
        <v>1</v>
      </c>
      <c r="E5" s="6">
        <v>1</v>
      </c>
      <c r="F5" s="51">
        <v>1</v>
      </c>
      <c r="H5" s="9" t="s">
        <v>13</v>
      </c>
      <c r="I5" s="60" t="s">
        <v>11</v>
      </c>
      <c r="J5" s="56">
        <f>D8*D6*(1-D7)+(1-D8)*J4</f>
        <v>8.450000000000002E-2</v>
      </c>
      <c r="P5" s="45"/>
    </row>
    <row r="6" spans="2:16" ht="15.6" x14ac:dyDescent="0.3">
      <c r="B6" s="86"/>
      <c r="C6" s="52" t="s">
        <v>21</v>
      </c>
      <c r="D6" s="53">
        <v>0.05</v>
      </c>
      <c r="E6" s="53">
        <v>0.05</v>
      </c>
      <c r="F6" s="54">
        <v>0.05</v>
      </c>
      <c r="H6" s="9" t="s">
        <v>14</v>
      </c>
      <c r="I6" s="12"/>
      <c r="J6" s="10">
        <v>0</v>
      </c>
      <c r="K6" s="10">
        <v>1</v>
      </c>
      <c r="L6" s="10">
        <v>2</v>
      </c>
      <c r="M6" s="10">
        <v>3</v>
      </c>
      <c r="N6" s="10">
        <v>4</v>
      </c>
      <c r="O6" s="10">
        <v>5</v>
      </c>
      <c r="P6" s="46">
        <v>6</v>
      </c>
    </row>
    <row r="7" spans="2:16" x14ac:dyDescent="0.3">
      <c r="B7" s="86"/>
      <c r="C7" s="52" t="s">
        <v>2</v>
      </c>
      <c r="D7" s="53">
        <v>0.3</v>
      </c>
      <c r="E7" s="53">
        <v>0.3</v>
      </c>
      <c r="F7" s="54">
        <f>30%</f>
        <v>0.3</v>
      </c>
      <c r="H7" s="9" t="s">
        <v>24</v>
      </c>
      <c r="I7" s="60"/>
      <c r="J7" s="56"/>
      <c r="K7" s="56">
        <f>$D$10</f>
        <v>7.3499999999999996E-2</v>
      </c>
      <c r="L7" s="56">
        <f>$D$10</f>
        <v>7.3499999999999996E-2</v>
      </c>
      <c r="M7" s="56">
        <f>$D$10</f>
        <v>7.3499999999999996E-2</v>
      </c>
      <c r="N7" s="56">
        <f>$D$10</f>
        <v>7.3499999999999996E-2</v>
      </c>
      <c r="O7" s="56">
        <f>$D$10</f>
        <v>7.3499999999999996E-2</v>
      </c>
      <c r="P7" s="47">
        <f>D12</f>
        <v>4.8399999999999999E-2</v>
      </c>
    </row>
    <row r="8" spans="2:16" ht="15.6" x14ac:dyDescent="0.3">
      <c r="B8" s="87"/>
      <c r="C8" s="5" t="s">
        <v>20</v>
      </c>
      <c r="D8" s="7">
        <v>0.1</v>
      </c>
      <c r="E8" s="7">
        <v>0.1</v>
      </c>
      <c r="F8" s="55">
        <v>0.1</v>
      </c>
      <c r="H8" s="9" t="s">
        <v>25</v>
      </c>
      <c r="I8" s="60" t="s">
        <v>26</v>
      </c>
      <c r="J8" s="10"/>
      <c r="K8" s="61">
        <f>D9</f>
        <v>50</v>
      </c>
      <c r="L8" s="61">
        <f t="shared" ref="L8:P8" si="0">K8*(1+L7)</f>
        <v>53.674999999999997</v>
      </c>
      <c r="M8" s="61">
        <f t="shared" si="0"/>
        <v>57.620112499999991</v>
      </c>
      <c r="N8" s="61">
        <f t="shared" si="0"/>
        <v>61.855190768749985</v>
      </c>
      <c r="O8" s="61">
        <f t="shared" si="0"/>
        <v>66.401547290253106</v>
      </c>
      <c r="P8" s="48">
        <f t="shared" si="0"/>
        <v>69.61538217910136</v>
      </c>
    </row>
    <row r="9" spans="2:16" ht="14.4" customHeight="1" x14ac:dyDescent="0.35">
      <c r="B9" s="83" t="s">
        <v>39</v>
      </c>
      <c r="C9" s="4" t="s">
        <v>37</v>
      </c>
      <c r="D9" s="6">
        <v>50</v>
      </c>
      <c r="E9" s="6">
        <v>25</v>
      </c>
      <c r="F9" s="62">
        <v>85</v>
      </c>
      <c r="H9" s="9" t="s">
        <v>27</v>
      </c>
      <c r="I9" s="60" t="s">
        <v>28</v>
      </c>
      <c r="J9" s="10"/>
      <c r="K9" s="10">
        <f>(1-$D$7)*K8</f>
        <v>35</v>
      </c>
      <c r="L9" s="10">
        <f t="shared" ref="L9:P9" si="1">(1-$D$7)*L8</f>
        <v>37.572499999999998</v>
      </c>
      <c r="M9" s="10">
        <f t="shared" si="1"/>
        <v>40.334078749999989</v>
      </c>
      <c r="N9" s="10">
        <f t="shared" si="1"/>
        <v>43.298633538124989</v>
      </c>
      <c r="O9" s="10">
        <f t="shared" si="1"/>
        <v>46.48108310317717</v>
      </c>
      <c r="P9" s="19">
        <f t="shared" si="1"/>
        <v>48.73076752537095</v>
      </c>
    </row>
    <row r="10" spans="2:16" x14ac:dyDescent="0.3">
      <c r="B10" s="88"/>
      <c r="C10" s="12" t="s">
        <v>40</v>
      </c>
      <c r="D10" s="56">
        <v>7.3499999999999996E-2</v>
      </c>
      <c r="E10" s="56">
        <v>7.3499999999999996E-2</v>
      </c>
      <c r="F10" s="20">
        <v>7.3499999999999996E-2</v>
      </c>
      <c r="H10" s="9" t="s">
        <v>29</v>
      </c>
      <c r="I10" s="60" t="s">
        <v>50</v>
      </c>
      <c r="J10" s="10"/>
      <c r="K10" s="61">
        <f>K9*$D$11</f>
        <v>24.5</v>
      </c>
      <c r="L10" s="61">
        <f t="shared" ref="L10:O10" si="2">L9*$D$11</f>
        <v>26.300749999999997</v>
      </c>
      <c r="M10" s="61">
        <f t="shared" si="2"/>
        <v>28.233855124999991</v>
      </c>
      <c r="N10" s="61">
        <f t="shared" si="2"/>
        <v>30.309043476687489</v>
      </c>
      <c r="O10" s="61">
        <f t="shared" si="2"/>
        <v>32.536758172224019</v>
      </c>
      <c r="P10" s="21">
        <f>P9*D13</f>
        <v>27.932475945542631</v>
      </c>
    </row>
    <row r="11" spans="2:16" x14ac:dyDescent="0.3">
      <c r="B11" s="84"/>
      <c r="C11" s="5" t="s">
        <v>38</v>
      </c>
      <c r="D11" s="37">
        <v>0.7</v>
      </c>
      <c r="E11" s="37">
        <v>0.7</v>
      </c>
      <c r="F11" s="34">
        <v>0.7</v>
      </c>
      <c r="H11" s="9" t="s">
        <v>30</v>
      </c>
      <c r="I11" s="60" t="s">
        <v>31</v>
      </c>
      <c r="J11" s="10"/>
      <c r="K11" s="10">
        <f t="shared" ref="K11:P11" si="3">K9-K10</f>
        <v>10.5</v>
      </c>
      <c r="L11" s="10">
        <f t="shared" si="3"/>
        <v>11.271750000000001</v>
      </c>
      <c r="M11" s="10">
        <f t="shared" si="3"/>
        <v>12.100223624999998</v>
      </c>
      <c r="N11" s="10">
        <f t="shared" si="3"/>
        <v>12.9895900614375</v>
      </c>
      <c r="O11" s="10">
        <f t="shared" si="3"/>
        <v>13.944324930953151</v>
      </c>
      <c r="P11" s="46">
        <f t="shared" si="3"/>
        <v>20.798291579828319</v>
      </c>
    </row>
    <row r="12" spans="2:16" x14ac:dyDescent="0.3">
      <c r="B12" s="83" t="s">
        <v>43</v>
      </c>
      <c r="C12" s="38" t="s">
        <v>41</v>
      </c>
      <c r="D12" s="39">
        <v>4.8399999999999999E-2</v>
      </c>
      <c r="E12" s="39">
        <v>4.8399999999999999E-2</v>
      </c>
      <c r="F12" s="57">
        <v>4.8399999999999999E-2</v>
      </c>
      <c r="H12" s="9" t="s">
        <v>32</v>
      </c>
      <c r="I12" s="60" t="s">
        <v>22</v>
      </c>
      <c r="J12" s="10"/>
      <c r="O12" s="61">
        <f>P11/(J5-P7)</f>
        <v>576.12996066006394</v>
      </c>
      <c r="P12" s="45"/>
    </row>
    <row r="13" spans="2:16" ht="15" customHeight="1" thickBot="1" x14ac:dyDescent="0.35">
      <c r="B13" s="84"/>
      <c r="C13" s="5" t="s">
        <v>38</v>
      </c>
      <c r="D13" s="40">
        <v>0.57320000000000004</v>
      </c>
      <c r="E13" s="40">
        <v>0.57320000000000004</v>
      </c>
      <c r="F13" s="58">
        <v>0.57320000000000004</v>
      </c>
      <c r="H13" s="16" t="s">
        <v>49</v>
      </c>
      <c r="I13" s="17" t="s">
        <v>23</v>
      </c>
      <c r="J13" s="26">
        <f>K11/(1+J5)^K6+L11/(1+J5)^L6+M11/(1+J5)^M6+N11/(1+J5)^N6+O11/(1+J5)^O6+O12/(1+J5)^O6</f>
        <v>431.47394517788854</v>
      </c>
      <c r="K13" s="11"/>
      <c r="L13" s="11"/>
      <c r="M13" s="11"/>
      <c r="N13" s="11"/>
      <c r="O13" s="42"/>
      <c r="P13" s="49"/>
    </row>
    <row r="14" spans="2:16" ht="15" customHeight="1" thickBot="1" x14ac:dyDescent="0.35">
      <c r="B14" s="36" t="s">
        <v>6</v>
      </c>
      <c r="C14" s="52" t="s">
        <v>7</v>
      </c>
      <c r="D14" s="89">
        <v>0.02</v>
      </c>
      <c r="E14" s="89"/>
      <c r="F14" s="90"/>
      <c r="J14" s="8"/>
    </row>
    <row r="15" spans="2:16" ht="15" thickBot="1" x14ac:dyDescent="0.35">
      <c r="B15" s="41"/>
      <c r="C15" s="3" t="s">
        <v>8</v>
      </c>
      <c r="D15" s="91">
        <v>7.0000000000000007E-2</v>
      </c>
      <c r="E15" s="91"/>
      <c r="F15" s="92"/>
      <c r="H15" s="93" t="s">
        <v>0</v>
      </c>
      <c r="I15" s="94"/>
      <c r="J15" s="94"/>
      <c r="K15" s="94"/>
      <c r="L15" s="94"/>
      <c r="M15" s="94"/>
      <c r="N15" s="94"/>
      <c r="O15" s="94"/>
      <c r="P15" s="95"/>
    </row>
    <row r="16" spans="2:16" x14ac:dyDescent="0.3">
      <c r="H16" s="14" t="s">
        <v>4</v>
      </c>
      <c r="I16" s="15" t="s">
        <v>9</v>
      </c>
      <c r="J16" s="59"/>
      <c r="K16" s="59"/>
      <c r="L16" s="59"/>
      <c r="M16" s="59"/>
      <c r="N16" s="59"/>
      <c r="O16" s="59"/>
      <c r="P16" s="44"/>
    </row>
    <row r="17" spans="8:16" ht="15.6" x14ac:dyDescent="0.35">
      <c r="H17" s="9" t="s">
        <v>12</v>
      </c>
      <c r="I17" s="60" t="s">
        <v>10</v>
      </c>
      <c r="J17" s="56">
        <f>D14+D15*E5</f>
        <v>9.0000000000000011E-2</v>
      </c>
      <c r="P17" s="45"/>
    </row>
    <row r="18" spans="8:16" ht="15.6" x14ac:dyDescent="0.35">
      <c r="H18" s="9" t="s">
        <v>13</v>
      </c>
      <c r="I18" s="60" t="s">
        <v>11</v>
      </c>
      <c r="J18" s="56">
        <f>(1-E8)*J17+E8*E6*(1-E7)</f>
        <v>8.450000000000002E-2</v>
      </c>
      <c r="P18" s="45"/>
    </row>
    <row r="19" spans="8:16" x14ac:dyDescent="0.3">
      <c r="H19" s="9" t="s">
        <v>14</v>
      </c>
      <c r="I19" s="12"/>
      <c r="J19" s="10">
        <v>0</v>
      </c>
      <c r="K19" s="10">
        <v>1</v>
      </c>
      <c r="L19" s="10">
        <v>2</v>
      </c>
      <c r="M19" s="10">
        <v>3</v>
      </c>
      <c r="N19" s="10">
        <v>4</v>
      </c>
      <c r="O19" s="10">
        <v>5</v>
      </c>
      <c r="P19" s="46">
        <v>6</v>
      </c>
    </row>
    <row r="20" spans="8:16" x14ac:dyDescent="0.3">
      <c r="H20" s="9" t="s">
        <v>24</v>
      </c>
      <c r="I20" s="60"/>
      <c r="J20" s="56"/>
      <c r="K20" s="56">
        <f>$E$10</f>
        <v>7.3499999999999996E-2</v>
      </c>
      <c r="L20" s="56">
        <f t="shared" ref="L20:O20" si="4">$E$10</f>
        <v>7.3499999999999996E-2</v>
      </c>
      <c r="M20" s="56">
        <f t="shared" si="4"/>
        <v>7.3499999999999996E-2</v>
      </c>
      <c r="N20" s="56">
        <f t="shared" si="4"/>
        <v>7.3499999999999996E-2</v>
      </c>
      <c r="O20" s="56">
        <f t="shared" si="4"/>
        <v>7.3499999999999996E-2</v>
      </c>
      <c r="P20" s="47">
        <f>E12</f>
        <v>4.8399999999999999E-2</v>
      </c>
    </row>
    <row r="21" spans="8:16" x14ac:dyDescent="0.3">
      <c r="H21" s="9" t="s">
        <v>25</v>
      </c>
      <c r="I21" s="60" t="s">
        <v>33</v>
      </c>
      <c r="J21" s="10"/>
      <c r="K21" s="61">
        <f>E9</f>
        <v>25</v>
      </c>
      <c r="L21" s="61">
        <f t="shared" ref="L21:P21" si="5">K21*(1+L20)</f>
        <v>26.837499999999999</v>
      </c>
      <c r="M21" s="61">
        <f t="shared" si="5"/>
        <v>28.810056249999995</v>
      </c>
      <c r="N21" s="61">
        <f t="shared" si="5"/>
        <v>30.927595384374992</v>
      </c>
      <c r="O21" s="61">
        <f t="shared" si="5"/>
        <v>33.200773645126553</v>
      </c>
      <c r="P21" s="48">
        <f t="shared" si="5"/>
        <v>34.80769108955068</v>
      </c>
    </row>
    <row r="22" spans="8:16" ht="15.6" x14ac:dyDescent="0.35">
      <c r="H22" s="9" t="s">
        <v>27</v>
      </c>
      <c r="I22" s="60" t="s">
        <v>51</v>
      </c>
      <c r="J22" s="10"/>
      <c r="K22" s="10">
        <f t="shared" ref="K22:P22" si="6">K21*(1-$E$7)</f>
        <v>17.5</v>
      </c>
      <c r="L22" s="10">
        <f t="shared" si="6"/>
        <v>18.786249999999999</v>
      </c>
      <c r="M22" s="10">
        <f t="shared" si="6"/>
        <v>20.167039374999995</v>
      </c>
      <c r="N22" s="10">
        <f t="shared" si="6"/>
        <v>21.649316769062494</v>
      </c>
      <c r="O22" s="10">
        <f t="shared" si="6"/>
        <v>23.240541551588585</v>
      </c>
      <c r="P22" s="46">
        <f t="shared" si="6"/>
        <v>24.365383762685475</v>
      </c>
    </row>
    <row r="23" spans="8:16" x14ac:dyDescent="0.3">
      <c r="H23" s="9" t="s">
        <v>29</v>
      </c>
      <c r="I23" s="60"/>
      <c r="J23" s="10"/>
      <c r="K23" s="10">
        <f>K22*$E$11</f>
        <v>12.25</v>
      </c>
      <c r="L23" s="10">
        <f t="shared" ref="L23:O23" si="7">L22*$E$11</f>
        <v>13.150374999999999</v>
      </c>
      <c r="M23" s="10">
        <f t="shared" si="7"/>
        <v>14.116927562499995</v>
      </c>
      <c r="N23" s="10">
        <f t="shared" si="7"/>
        <v>15.154521738343744</v>
      </c>
      <c r="O23" s="10">
        <f t="shared" si="7"/>
        <v>16.268379086112009</v>
      </c>
      <c r="P23" s="46">
        <f>$E$13*P22</f>
        <v>13.966237972771316</v>
      </c>
    </row>
    <row r="24" spans="8:16" x14ac:dyDescent="0.3">
      <c r="H24" s="9" t="s">
        <v>30</v>
      </c>
      <c r="I24" s="60" t="s">
        <v>31</v>
      </c>
      <c r="J24" s="10"/>
      <c r="K24" s="10">
        <f>K22-K23</f>
        <v>5.25</v>
      </c>
      <c r="L24" s="10">
        <f t="shared" ref="L24:P24" si="8">L22-L23</f>
        <v>5.6358750000000004</v>
      </c>
      <c r="M24" s="10">
        <f t="shared" si="8"/>
        <v>6.0501118124999991</v>
      </c>
      <c r="N24" s="10">
        <f t="shared" si="8"/>
        <v>6.4947950307187501</v>
      </c>
      <c r="O24" s="10">
        <f t="shared" si="8"/>
        <v>6.9721624654765755</v>
      </c>
      <c r="P24" s="19">
        <f t="shared" si="8"/>
        <v>10.39914578991416</v>
      </c>
    </row>
    <row r="25" spans="8:16" x14ac:dyDescent="0.3">
      <c r="H25" s="9" t="s">
        <v>32</v>
      </c>
      <c r="I25" s="60" t="s">
        <v>22</v>
      </c>
      <c r="J25" s="10"/>
      <c r="O25" s="61">
        <f>P24/(J18-P20)</f>
        <v>288.06498033003197</v>
      </c>
      <c r="P25" s="45"/>
    </row>
    <row r="26" spans="8:16" ht="15" thickBot="1" x14ac:dyDescent="0.35">
      <c r="H26" s="16" t="s">
        <v>49</v>
      </c>
      <c r="I26" s="17" t="s">
        <v>23</v>
      </c>
      <c r="J26" s="26">
        <f>K24/(1+J18)^K19+L24/(1+J18)^L19+M24/(1+J18)^M19+N24/(1+J18)^N19+O24/(1+J18)^O19+O25/(1+J18)^O19</f>
        <v>215.73697258894427</v>
      </c>
      <c r="K26" s="11"/>
      <c r="L26" s="11"/>
      <c r="M26" s="11"/>
      <c r="N26" s="11"/>
      <c r="O26" s="42"/>
      <c r="P26" s="49"/>
    </row>
    <row r="27" spans="8:16" ht="15" thickBot="1" x14ac:dyDescent="0.35"/>
    <row r="28" spans="8:16" x14ac:dyDescent="0.3">
      <c r="H28" s="66" t="s">
        <v>35</v>
      </c>
      <c r="I28" s="67"/>
      <c r="J28" s="67"/>
      <c r="K28" s="67"/>
      <c r="L28" s="67"/>
      <c r="M28" s="67"/>
      <c r="N28" s="67"/>
      <c r="O28" s="67"/>
      <c r="P28" s="68"/>
    </row>
    <row r="29" spans="8:16" x14ac:dyDescent="0.3">
      <c r="H29" s="14" t="s">
        <v>4</v>
      </c>
      <c r="I29" s="15" t="s">
        <v>9</v>
      </c>
      <c r="J29" s="59"/>
      <c r="K29" s="59"/>
      <c r="L29" s="59"/>
      <c r="M29" s="59"/>
      <c r="N29" s="59"/>
      <c r="O29" s="59"/>
      <c r="P29" s="44"/>
    </row>
    <row r="30" spans="8:16" ht="15.6" x14ac:dyDescent="0.35">
      <c r="H30" s="9" t="s">
        <v>12</v>
      </c>
      <c r="I30" s="60" t="s">
        <v>10</v>
      </c>
      <c r="J30" s="56">
        <f>D14+F5*D15</f>
        <v>9.0000000000000011E-2</v>
      </c>
      <c r="P30" s="45"/>
    </row>
    <row r="31" spans="8:16" ht="15.6" x14ac:dyDescent="0.35">
      <c r="H31" s="9" t="s">
        <v>13</v>
      </c>
      <c r="I31" s="60" t="s">
        <v>11</v>
      </c>
      <c r="J31" s="56">
        <f>F8*(1-F7)*F6+J30*(1-F8)</f>
        <v>8.450000000000002E-2</v>
      </c>
      <c r="P31" s="45"/>
    </row>
    <row r="32" spans="8:16" x14ac:dyDescent="0.3">
      <c r="H32" s="9" t="s">
        <v>14</v>
      </c>
      <c r="I32" s="12"/>
      <c r="J32" s="10">
        <v>0</v>
      </c>
      <c r="K32" s="10">
        <v>1</v>
      </c>
      <c r="L32" s="10">
        <v>2</v>
      </c>
      <c r="M32" s="10">
        <v>3</v>
      </c>
      <c r="N32" s="10">
        <v>4</v>
      </c>
      <c r="O32" s="10">
        <v>5</v>
      </c>
      <c r="P32" s="46">
        <v>6</v>
      </c>
    </row>
    <row r="33" spans="8:16" x14ac:dyDescent="0.3">
      <c r="H33" s="9" t="s">
        <v>24</v>
      </c>
      <c r="I33" s="60"/>
      <c r="J33" s="56">
        <f t="shared" ref="J33:O33" si="9">$F$10</f>
        <v>7.3499999999999996E-2</v>
      </c>
      <c r="K33" s="56">
        <f t="shared" si="9"/>
        <v>7.3499999999999996E-2</v>
      </c>
      <c r="L33" s="56">
        <f t="shared" si="9"/>
        <v>7.3499999999999996E-2</v>
      </c>
      <c r="M33" s="56">
        <f t="shared" si="9"/>
        <v>7.3499999999999996E-2</v>
      </c>
      <c r="N33" s="56">
        <f t="shared" si="9"/>
        <v>7.3499999999999996E-2</v>
      </c>
      <c r="O33" s="56">
        <f t="shared" si="9"/>
        <v>7.3499999999999996E-2</v>
      </c>
      <c r="P33" s="47">
        <f>F12</f>
        <v>4.8399999999999999E-2</v>
      </c>
    </row>
    <row r="34" spans="8:16" x14ac:dyDescent="0.3">
      <c r="H34" s="9" t="s">
        <v>25</v>
      </c>
      <c r="I34" s="60" t="s">
        <v>33</v>
      </c>
      <c r="J34" s="10"/>
      <c r="K34" s="61">
        <f>F9</f>
        <v>85</v>
      </c>
      <c r="L34" s="61">
        <f t="shared" ref="L34:P34" si="10">K34*(1+L33)</f>
        <v>91.247499999999988</v>
      </c>
      <c r="M34" s="61">
        <f t="shared" si="10"/>
        <v>97.95419124999998</v>
      </c>
      <c r="N34" s="61">
        <f t="shared" si="10"/>
        <v>105.15382430687497</v>
      </c>
      <c r="O34" s="61">
        <f t="shared" si="10"/>
        <v>112.88263039343026</v>
      </c>
      <c r="P34" s="48">
        <f t="shared" si="10"/>
        <v>118.34614970447228</v>
      </c>
    </row>
    <row r="35" spans="8:16" ht="15.6" x14ac:dyDescent="0.35">
      <c r="H35" s="9" t="s">
        <v>27</v>
      </c>
      <c r="I35" s="60" t="s">
        <v>51</v>
      </c>
      <c r="J35" s="10"/>
      <c r="K35" s="10">
        <f t="shared" ref="K35:P35" si="11">K34*(1-$D$7)</f>
        <v>59.499999999999993</v>
      </c>
      <c r="L35" s="10">
        <f t="shared" si="11"/>
        <v>63.873249999999985</v>
      </c>
      <c r="M35" s="10">
        <f t="shared" si="11"/>
        <v>68.56793387499998</v>
      </c>
      <c r="N35" s="10">
        <f t="shared" si="11"/>
        <v>73.607677014812467</v>
      </c>
      <c r="O35" s="10">
        <f t="shared" si="11"/>
        <v>79.017841275401182</v>
      </c>
      <c r="P35" s="46">
        <f t="shared" si="11"/>
        <v>82.842304793130594</v>
      </c>
    </row>
    <row r="36" spans="8:16" x14ac:dyDescent="0.3">
      <c r="H36" s="9" t="s">
        <v>29</v>
      </c>
      <c r="I36" s="60"/>
      <c r="J36" s="10"/>
      <c r="K36" s="61">
        <f>$F$11*K35</f>
        <v>41.649999999999991</v>
      </c>
      <c r="L36" s="61">
        <f t="shared" ref="L36:O36" si="12">$F$11*L35</f>
        <v>44.711274999999986</v>
      </c>
      <c r="M36" s="61">
        <f t="shared" si="12"/>
        <v>47.997553712499986</v>
      </c>
      <c r="N36" s="61">
        <f t="shared" si="12"/>
        <v>51.525373910368721</v>
      </c>
      <c r="O36" s="61">
        <f t="shared" si="12"/>
        <v>55.312488892780827</v>
      </c>
      <c r="P36" s="46">
        <f>F13*P35</f>
        <v>47.485209107422463</v>
      </c>
    </row>
    <row r="37" spans="8:16" x14ac:dyDescent="0.3">
      <c r="H37" s="9" t="s">
        <v>30</v>
      </c>
      <c r="I37" s="60" t="s">
        <v>31</v>
      </c>
      <c r="J37" s="10"/>
      <c r="K37" s="10">
        <f>K35-K36</f>
        <v>17.850000000000001</v>
      </c>
      <c r="L37" s="10">
        <f t="shared" ref="L37:P37" si="13">L35-L36</f>
        <v>19.161974999999998</v>
      </c>
      <c r="M37" s="10">
        <f t="shared" si="13"/>
        <v>20.570380162499994</v>
      </c>
      <c r="N37" s="10">
        <f t="shared" si="13"/>
        <v>22.082303104443746</v>
      </c>
      <c r="O37" s="10">
        <f t="shared" si="13"/>
        <v>23.705352382620354</v>
      </c>
      <c r="P37" s="19">
        <f t="shared" si="13"/>
        <v>35.357095685708131</v>
      </c>
    </row>
    <row r="38" spans="8:16" x14ac:dyDescent="0.3">
      <c r="H38" s="9" t="s">
        <v>32</v>
      </c>
      <c r="I38" s="60" t="s">
        <v>22</v>
      </c>
      <c r="J38" s="10"/>
      <c r="O38" s="61">
        <f>P37/(J31-P33)</f>
        <v>979.42093312210829</v>
      </c>
      <c r="P38" s="45"/>
    </row>
    <row r="39" spans="8:16" ht="15" thickBot="1" x14ac:dyDescent="0.35">
      <c r="H39" s="16" t="s">
        <v>49</v>
      </c>
      <c r="I39" s="17" t="s">
        <v>23</v>
      </c>
      <c r="J39" s="26">
        <f>K37/(1+J31)^K32+L37/(1+J31)^L32+M37/(1+J31)^M32+N37/(1+J31)^N32+O37/(1+J31)^O32+O38/(1+J31)^O32</f>
        <v>733.50570680241015</v>
      </c>
      <c r="K39" s="11"/>
      <c r="L39" s="11"/>
      <c r="M39" s="11"/>
      <c r="N39" s="11"/>
      <c r="O39" s="42"/>
      <c r="P39" s="49"/>
    </row>
    <row r="41" spans="8:16" x14ac:dyDescent="0.3">
      <c r="J41" s="27"/>
    </row>
    <row r="42" spans="8:16" x14ac:dyDescent="0.3">
      <c r="H42" s="15" t="s">
        <v>45</v>
      </c>
      <c r="I42" s="33" t="s">
        <v>46</v>
      </c>
      <c r="J42" s="65">
        <f>J39-J13-J26</f>
        <v>86.294789035577338</v>
      </c>
    </row>
  </sheetData>
  <mergeCells count="13">
    <mergeCell ref="H28:P28"/>
    <mergeCell ref="D14:F14"/>
    <mergeCell ref="D15:F15"/>
    <mergeCell ref="B5:B8"/>
    <mergeCell ref="H15:P15"/>
    <mergeCell ref="B9:B11"/>
    <mergeCell ref="B12:B13"/>
    <mergeCell ref="B2:F2"/>
    <mergeCell ref="H2:P2"/>
    <mergeCell ref="B3:B4"/>
    <mergeCell ref="C3:C4"/>
    <mergeCell ref="D3:D4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F81E-9628-4EC2-A3AE-94EFCFA865C5}">
  <dimension ref="B1:P42"/>
  <sheetViews>
    <sheetView topLeftCell="A7" workbookViewId="0">
      <selection activeCell="H30" sqref="H30:I38"/>
    </sheetView>
  </sheetViews>
  <sheetFormatPr defaultRowHeight="14.4" x14ac:dyDescent="0.3"/>
  <cols>
    <col min="2" max="2" width="26" style="12" bestFit="1" customWidth="1"/>
    <col min="3" max="3" width="29.77734375" bestFit="1" customWidth="1"/>
    <col min="4" max="5" width="12.88671875" style="10" customWidth="1"/>
    <col min="6" max="6" width="18" style="10" bestFit="1" customWidth="1"/>
    <col min="8" max="8" width="35.21875" bestFit="1" customWidth="1"/>
    <col min="9" max="9" width="44.21875" bestFit="1" customWidth="1"/>
    <col min="10" max="10" width="10.5546875" customWidth="1"/>
    <col min="11" max="15" width="9.44140625" customWidth="1"/>
    <col min="16" max="16" width="9.44140625" style="43" customWidth="1"/>
  </cols>
  <sheetData>
    <row r="1" spans="2:16" ht="15" thickBot="1" x14ac:dyDescent="0.35"/>
    <row r="2" spans="2:16" x14ac:dyDescent="0.3">
      <c r="B2" s="69" t="s">
        <v>15</v>
      </c>
      <c r="C2" s="70"/>
      <c r="D2" s="70"/>
      <c r="E2" s="70"/>
      <c r="F2" s="71"/>
      <c r="H2" s="72" t="s">
        <v>19</v>
      </c>
      <c r="I2" s="73"/>
      <c r="J2" s="73"/>
      <c r="K2" s="73"/>
      <c r="L2" s="73"/>
      <c r="M2" s="73"/>
      <c r="N2" s="73"/>
      <c r="O2" s="73"/>
      <c r="P2" s="74"/>
    </row>
    <row r="3" spans="2:16" x14ac:dyDescent="0.3">
      <c r="B3" s="75" t="s">
        <v>5</v>
      </c>
      <c r="C3" s="77" t="s">
        <v>4</v>
      </c>
      <c r="D3" s="79" t="s">
        <v>19</v>
      </c>
      <c r="E3" s="81" t="s">
        <v>0</v>
      </c>
      <c r="F3" s="30" t="s">
        <v>16</v>
      </c>
      <c r="H3" s="14" t="s">
        <v>4</v>
      </c>
      <c r="I3" s="15" t="s">
        <v>9</v>
      </c>
      <c r="J3" s="59"/>
      <c r="K3" s="59"/>
      <c r="L3" s="59"/>
      <c r="M3" s="59"/>
      <c r="N3" s="59"/>
      <c r="O3" s="59"/>
      <c r="P3" s="44"/>
    </row>
    <row r="4" spans="2:16" ht="15.6" x14ac:dyDescent="0.35">
      <c r="B4" s="76"/>
      <c r="C4" s="78"/>
      <c r="D4" s="80"/>
      <c r="E4" s="82"/>
      <c r="F4" s="35" t="s">
        <v>34</v>
      </c>
      <c r="H4" s="9" t="s">
        <v>12</v>
      </c>
      <c r="I4" s="60" t="s">
        <v>10</v>
      </c>
      <c r="J4" s="56">
        <f>D14+D5*D15</f>
        <v>9.0000000000000011E-2</v>
      </c>
      <c r="P4" s="45"/>
    </row>
    <row r="5" spans="2:16" ht="15.6" x14ac:dyDescent="0.35">
      <c r="B5" s="85" t="s">
        <v>3</v>
      </c>
      <c r="C5" s="4" t="s">
        <v>1</v>
      </c>
      <c r="D5" s="6">
        <v>1</v>
      </c>
      <c r="E5" s="6">
        <v>1</v>
      </c>
      <c r="F5" s="51">
        <v>1</v>
      </c>
      <c r="H5" s="9" t="s">
        <v>13</v>
      </c>
      <c r="I5" s="60" t="s">
        <v>11</v>
      </c>
      <c r="J5" s="56">
        <f>D8*D6*(1-D7)+(1-D8)*J4</f>
        <v>8.450000000000002E-2</v>
      </c>
      <c r="P5" s="45"/>
    </row>
    <row r="6" spans="2:16" ht="15.6" x14ac:dyDescent="0.3">
      <c r="B6" s="86"/>
      <c r="C6" s="52" t="s">
        <v>21</v>
      </c>
      <c r="D6" s="53">
        <v>0.05</v>
      </c>
      <c r="E6" s="53">
        <v>0.05</v>
      </c>
      <c r="F6" s="54">
        <v>0.05</v>
      </c>
      <c r="H6" s="9" t="s">
        <v>14</v>
      </c>
      <c r="I6" s="12"/>
      <c r="J6" s="10">
        <v>0</v>
      </c>
      <c r="K6" s="10">
        <v>1</v>
      </c>
      <c r="L6" s="10">
        <v>2</v>
      </c>
      <c r="M6" s="10">
        <v>3</v>
      </c>
      <c r="N6" s="10">
        <v>4</v>
      </c>
      <c r="O6" s="10">
        <v>5</v>
      </c>
      <c r="P6" s="46">
        <v>6</v>
      </c>
    </row>
    <row r="7" spans="2:16" x14ac:dyDescent="0.3">
      <c r="B7" s="86"/>
      <c r="C7" s="52" t="s">
        <v>2</v>
      </c>
      <c r="D7" s="53">
        <v>0.3</v>
      </c>
      <c r="E7" s="53">
        <v>0.3</v>
      </c>
      <c r="F7" s="54">
        <f>30%</f>
        <v>0.3</v>
      </c>
      <c r="H7" s="9" t="s">
        <v>24</v>
      </c>
      <c r="I7" s="60"/>
      <c r="J7" s="56"/>
      <c r="K7" s="56">
        <f>$D$10</f>
        <v>7.3499999999999996E-2</v>
      </c>
      <c r="L7" s="56">
        <f>$D$10</f>
        <v>7.3499999999999996E-2</v>
      </c>
      <c r="M7" s="56">
        <f>$D$10</f>
        <v>7.3499999999999996E-2</v>
      </c>
      <c r="N7" s="56">
        <f>$D$10</f>
        <v>7.3499999999999996E-2</v>
      </c>
      <c r="O7" s="56">
        <f>$D$10</f>
        <v>7.3499999999999996E-2</v>
      </c>
      <c r="P7" s="47">
        <f>D12</f>
        <v>4.8399999999999999E-2</v>
      </c>
    </row>
    <row r="8" spans="2:16" ht="15.6" x14ac:dyDescent="0.3">
      <c r="B8" s="87"/>
      <c r="C8" s="5" t="s">
        <v>20</v>
      </c>
      <c r="D8" s="7">
        <v>0.1</v>
      </c>
      <c r="E8" s="7">
        <v>0.1</v>
      </c>
      <c r="F8" s="55">
        <v>0.1</v>
      </c>
      <c r="H8" s="9" t="s">
        <v>25</v>
      </c>
      <c r="I8" s="60" t="s">
        <v>26</v>
      </c>
      <c r="J8" s="10"/>
      <c r="K8" s="61">
        <f>D9</f>
        <v>50</v>
      </c>
      <c r="L8" s="61">
        <f t="shared" ref="L8:P8" si="0">K8*(1+L7)</f>
        <v>53.674999999999997</v>
      </c>
      <c r="M8" s="61">
        <f t="shared" si="0"/>
        <v>57.620112499999991</v>
      </c>
      <c r="N8" s="61">
        <f t="shared" si="0"/>
        <v>61.855190768749985</v>
      </c>
      <c r="O8" s="61">
        <f t="shared" si="0"/>
        <v>66.401547290253106</v>
      </c>
      <c r="P8" s="48">
        <f t="shared" si="0"/>
        <v>69.61538217910136</v>
      </c>
    </row>
    <row r="9" spans="2:16" ht="15.6" customHeight="1" x14ac:dyDescent="0.35">
      <c r="B9" s="83" t="s">
        <v>39</v>
      </c>
      <c r="C9" s="4" t="s">
        <v>37</v>
      </c>
      <c r="D9" s="6">
        <v>50</v>
      </c>
      <c r="E9" s="6">
        <v>25</v>
      </c>
      <c r="F9" s="51">
        <v>75</v>
      </c>
      <c r="H9" s="9" t="s">
        <v>27</v>
      </c>
      <c r="I9" s="60" t="s">
        <v>28</v>
      </c>
      <c r="J9" s="10"/>
      <c r="K9" s="10">
        <f>(1-$D$7)*K8</f>
        <v>35</v>
      </c>
      <c r="L9" s="10">
        <f t="shared" ref="L9:P9" si="1">(1-$D$7)*L8</f>
        <v>37.572499999999998</v>
      </c>
      <c r="M9" s="10">
        <f t="shared" si="1"/>
        <v>40.334078749999989</v>
      </c>
      <c r="N9" s="10">
        <f t="shared" si="1"/>
        <v>43.298633538124989</v>
      </c>
      <c r="O9" s="10">
        <f t="shared" si="1"/>
        <v>46.48108310317717</v>
      </c>
      <c r="P9" s="19">
        <f t="shared" si="1"/>
        <v>48.73076752537095</v>
      </c>
    </row>
    <row r="10" spans="2:16" x14ac:dyDescent="0.3">
      <c r="B10" s="88"/>
      <c r="C10" s="12" t="s">
        <v>40</v>
      </c>
      <c r="D10" s="56">
        <v>7.3499999999999996E-2</v>
      </c>
      <c r="E10" s="56">
        <v>7.3499999999999996E-2</v>
      </c>
      <c r="F10" s="20">
        <v>7.3499999999999996E-2</v>
      </c>
      <c r="H10" s="9" t="s">
        <v>29</v>
      </c>
      <c r="I10" s="60" t="s">
        <v>50</v>
      </c>
      <c r="J10" s="10"/>
      <c r="K10" s="61">
        <f>K9*$D$11</f>
        <v>24.5</v>
      </c>
      <c r="L10" s="61">
        <f t="shared" ref="L10:O10" si="2">L9*$D$11</f>
        <v>26.300749999999997</v>
      </c>
      <c r="M10" s="61">
        <f t="shared" si="2"/>
        <v>28.233855124999991</v>
      </c>
      <c r="N10" s="61">
        <f t="shared" si="2"/>
        <v>30.309043476687489</v>
      </c>
      <c r="O10" s="61">
        <f t="shared" si="2"/>
        <v>32.536758172224019</v>
      </c>
      <c r="P10" s="21">
        <f>P9*D13</f>
        <v>27.932475945542631</v>
      </c>
    </row>
    <row r="11" spans="2:16" x14ac:dyDescent="0.3">
      <c r="B11" s="84"/>
      <c r="C11" s="5" t="s">
        <v>38</v>
      </c>
      <c r="D11" s="37">
        <v>0.7</v>
      </c>
      <c r="E11" s="37">
        <v>0.7</v>
      </c>
      <c r="F11" s="34">
        <v>0.7</v>
      </c>
      <c r="H11" s="9" t="s">
        <v>30</v>
      </c>
      <c r="I11" s="60" t="s">
        <v>31</v>
      </c>
      <c r="J11" s="10"/>
      <c r="K11" s="10">
        <f t="shared" ref="K11:P11" si="3">K9-K10</f>
        <v>10.5</v>
      </c>
      <c r="L11" s="10">
        <f t="shared" si="3"/>
        <v>11.271750000000001</v>
      </c>
      <c r="M11" s="10">
        <f t="shared" si="3"/>
        <v>12.100223624999998</v>
      </c>
      <c r="N11" s="10">
        <f t="shared" si="3"/>
        <v>12.9895900614375</v>
      </c>
      <c r="O11" s="10">
        <f t="shared" si="3"/>
        <v>13.944324930953151</v>
      </c>
      <c r="P11" s="46">
        <f t="shared" si="3"/>
        <v>20.798291579828319</v>
      </c>
    </row>
    <row r="12" spans="2:16" x14ac:dyDescent="0.3">
      <c r="B12" s="83" t="s">
        <v>43</v>
      </c>
      <c r="C12" s="38" t="s">
        <v>41</v>
      </c>
      <c r="D12" s="39">
        <v>4.8399999999999999E-2</v>
      </c>
      <c r="E12" s="39">
        <v>4.8399999999999999E-2</v>
      </c>
      <c r="F12" s="63">
        <v>5.2499999999999998E-2</v>
      </c>
      <c r="H12" s="9" t="s">
        <v>32</v>
      </c>
      <c r="I12" s="60" t="s">
        <v>22</v>
      </c>
      <c r="J12" s="10"/>
      <c r="O12" s="61">
        <f>P11/(J5-P7)</f>
        <v>576.12996066006394</v>
      </c>
      <c r="P12" s="45"/>
    </row>
    <row r="13" spans="2:16" ht="15" thickBot="1" x14ac:dyDescent="0.35">
      <c r="B13" s="84"/>
      <c r="C13" s="5" t="s">
        <v>38</v>
      </c>
      <c r="D13" s="40">
        <v>0.57320000000000004</v>
      </c>
      <c r="E13" s="40">
        <v>0.57320000000000004</v>
      </c>
      <c r="F13" s="58">
        <v>0.57320000000000004</v>
      </c>
      <c r="H13" s="16" t="s">
        <v>49</v>
      </c>
      <c r="I13" s="17" t="s">
        <v>23</v>
      </c>
      <c r="J13" s="26">
        <f>K11/(1+J5)^K6+L11/(1+J5)^L6+M11/(1+J5)^M6+N11/(1+J5)^N6+O11/(1+J5)^O6+O12/(1+J5)^O6</f>
        <v>431.47394517788854</v>
      </c>
      <c r="K13" s="11"/>
      <c r="L13" s="11"/>
      <c r="M13" s="11"/>
      <c r="N13" s="11"/>
      <c r="O13" s="42"/>
      <c r="P13" s="49"/>
    </row>
    <row r="14" spans="2:16" ht="15" thickBot="1" x14ac:dyDescent="0.35">
      <c r="B14" s="36" t="s">
        <v>6</v>
      </c>
      <c r="C14" s="52" t="s">
        <v>7</v>
      </c>
      <c r="D14" s="89">
        <v>0.02</v>
      </c>
      <c r="E14" s="89"/>
      <c r="F14" s="90"/>
      <c r="J14" s="8"/>
    </row>
    <row r="15" spans="2:16" ht="15" thickBot="1" x14ac:dyDescent="0.35">
      <c r="B15" s="41"/>
      <c r="C15" s="3" t="s">
        <v>8</v>
      </c>
      <c r="D15" s="91">
        <v>7.0000000000000007E-2</v>
      </c>
      <c r="E15" s="91"/>
      <c r="F15" s="92"/>
      <c r="H15" s="93" t="s">
        <v>0</v>
      </c>
      <c r="I15" s="94"/>
      <c r="J15" s="94"/>
      <c r="K15" s="94"/>
      <c r="L15" s="94"/>
      <c r="M15" s="94"/>
      <c r="N15" s="94"/>
      <c r="O15" s="94"/>
      <c r="P15" s="95"/>
    </row>
    <row r="16" spans="2:16" x14ac:dyDescent="0.3">
      <c r="H16" s="14" t="s">
        <v>4</v>
      </c>
      <c r="I16" s="15" t="s">
        <v>9</v>
      </c>
      <c r="J16" s="59"/>
      <c r="K16" s="59"/>
      <c r="L16" s="59"/>
      <c r="M16" s="59"/>
      <c r="N16" s="59"/>
      <c r="O16" s="59"/>
      <c r="P16" s="44"/>
    </row>
    <row r="17" spans="8:16" ht="15.6" x14ac:dyDescent="0.35">
      <c r="H17" s="9" t="s">
        <v>12</v>
      </c>
      <c r="I17" s="60" t="s">
        <v>10</v>
      </c>
      <c r="J17" s="56">
        <f>D14+D15*E5</f>
        <v>9.0000000000000011E-2</v>
      </c>
      <c r="P17" s="45"/>
    </row>
    <row r="18" spans="8:16" ht="15.6" x14ac:dyDescent="0.35">
      <c r="H18" s="9" t="s">
        <v>13</v>
      </c>
      <c r="I18" s="60" t="s">
        <v>11</v>
      </c>
      <c r="J18" s="56">
        <f>(1-E8)*J17+E8*E6*(1-E7)</f>
        <v>8.450000000000002E-2</v>
      </c>
      <c r="P18" s="45"/>
    </row>
    <row r="19" spans="8:16" x14ac:dyDescent="0.3">
      <c r="H19" s="9" t="s">
        <v>14</v>
      </c>
      <c r="I19" s="12"/>
      <c r="J19" s="10">
        <v>0</v>
      </c>
      <c r="K19" s="10">
        <v>1</v>
      </c>
      <c r="L19" s="10">
        <v>2</v>
      </c>
      <c r="M19" s="10">
        <v>3</v>
      </c>
      <c r="N19" s="10">
        <v>4</v>
      </c>
      <c r="O19" s="10">
        <v>5</v>
      </c>
      <c r="P19" s="46">
        <v>6</v>
      </c>
    </row>
    <row r="20" spans="8:16" x14ac:dyDescent="0.3">
      <c r="H20" s="9" t="s">
        <v>24</v>
      </c>
      <c r="I20" s="60"/>
      <c r="J20" s="56"/>
      <c r="K20" s="56">
        <f>$E$10</f>
        <v>7.3499999999999996E-2</v>
      </c>
      <c r="L20" s="56">
        <f t="shared" ref="L20:O20" si="4">$E$10</f>
        <v>7.3499999999999996E-2</v>
      </c>
      <c r="M20" s="56">
        <f t="shared" si="4"/>
        <v>7.3499999999999996E-2</v>
      </c>
      <c r="N20" s="56">
        <f t="shared" si="4"/>
        <v>7.3499999999999996E-2</v>
      </c>
      <c r="O20" s="56">
        <f t="shared" si="4"/>
        <v>7.3499999999999996E-2</v>
      </c>
      <c r="P20" s="47">
        <f>E12</f>
        <v>4.8399999999999999E-2</v>
      </c>
    </row>
    <row r="21" spans="8:16" x14ac:dyDescent="0.3">
      <c r="H21" s="9" t="s">
        <v>25</v>
      </c>
      <c r="I21" s="60" t="s">
        <v>33</v>
      </c>
      <c r="J21" s="10"/>
      <c r="K21" s="61">
        <f>E9</f>
        <v>25</v>
      </c>
      <c r="L21" s="61">
        <f t="shared" ref="L21:P21" si="5">K21*(1+L20)</f>
        <v>26.837499999999999</v>
      </c>
      <c r="M21" s="61">
        <f t="shared" si="5"/>
        <v>28.810056249999995</v>
      </c>
      <c r="N21" s="61">
        <f t="shared" si="5"/>
        <v>30.927595384374992</v>
      </c>
      <c r="O21" s="61">
        <f t="shared" si="5"/>
        <v>33.200773645126553</v>
      </c>
      <c r="P21" s="50">
        <f t="shared" si="5"/>
        <v>34.80769108955068</v>
      </c>
    </row>
    <row r="22" spans="8:16" ht="15.6" x14ac:dyDescent="0.35">
      <c r="H22" s="9" t="s">
        <v>27</v>
      </c>
      <c r="I22" s="60" t="s">
        <v>51</v>
      </c>
      <c r="J22" s="10"/>
      <c r="K22" s="10">
        <f t="shared" ref="K22:P22" si="6">K21*(1-$E$7)</f>
        <v>17.5</v>
      </c>
      <c r="L22" s="10">
        <f t="shared" si="6"/>
        <v>18.786249999999999</v>
      </c>
      <c r="M22" s="10">
        <f t="shared" si="6"/>
        <v>20.167039374999995</v>
      </c>
      <c r="N22" s="10">
        <f t="shared" si="6"/>
        <v>21.649316769062494</v>
      </c>
      <c r="O22" s="10">
        <f t="shared" si="6"/>
        <v>23.240541551588585</v>
      </c>
      <c r="P22" s="46">
        <f t="shared" si="6"/>
        <v>24.365383762685475</v>
      </c>
    </row>
    <row r="23" spans="8:16" x14ac:dyDescent="0.3">
      <c r="H23" s="9" t="s">
        <v>29</v>
      </c>
      <c r="I23" s="60"/>
      <c r="J23" s="10"/>
      <c r="K23" s="10">
        <f>K22*$E$11</f>
        <v>12.25</v>
      </c>
      <c r="L23" s="10">
        <f t="shared" ref="L23:O23" si="7">L22*$E$11</f>
        <v>13.150374999999999</v>
      </c>
      <c r="M23" s="10">
        <f t="shared" si="7"/>
        <v>14.116927562499995</v>
      </c>
      <c r="N23" s="10">
        <f t="shared" si="7"/>
        <v>15.154521738343744</v>
      </c>
      <c r="O23" s="10">
        <f t="shared" si="7"/>
        <v>16.268379086112009</v>
      </c>
      <c r="P23" s="46">
        <f>$E$13*P22</f>
        <v>13.966237972771316</v>
      </c>
    </row>
    <row r="24" spans="8:16" x14ac:dyDescent="0.3">
      <c r="H24" s="9" t="s">
        <v>30</v>
      </c>
      <c r="I24" s="60" t="s">
        <v>31</v>
      </c>
      <c r="J24" s="10"/>
      <c r="K24" s="10">
        <f>K22-K23</f>
        <v>5.25</v>
      </c>
      <c r="L24" s="10">
        <f t="shared" ref="L24:P24" si="8">L22-L23</f>
        <v>5.6358750000000004</v>
      </c>
      <c r="M24" s="10">
        <f t="shared" si="8"/>
        <v>6.0501118124999991</v>
      </c>
      <c r="N24" s="10">
        <f t="shared" si="8"/>
        <v>6.4947950307187501</v>
      </c>
      <c r="O24" s="10">
        <f t="shared" si="8"/>
        <v>6.9721624654765755</v>
      </c>
      <c r="P24" s="19">
        <f t="shared" si="8"/>
        <v>10.39914578991416</v>
      </c>
    </row>
    <row r="25" spans="8:16" x14ac:dyDescent="0.3">
      <c r="H25" s="9" t="s">
        <v>32</v>
      </c>
      <c r="I25" s="60" t="s">
        <v>22</v>
      </c>
      <c r="J25" s="10"/>
      <c r="O25" s="61">
        <f>P24/(J18-P20)</f>
        <v>288.06498033003197</v>
      </c>
      <c r="P25" s="45"/>
    </row>
    <row r="26" spans="8:16" ht="15" thickBot="1" x14ac:dyDescent="0.35">
      <c r="H26" s="16" t="s">
        <v>49</v>
      </c>
      <c r="I26" s="17" t="s">
        <v>23</v>
      </c>
      <c r="J26" s="26">
        <f>K24/(1+J18)^K19+L24/(1+J18)^L19+M24/(1+J18)^M19+N24/(1+J18)^N19+O24/(1+J18)^O19+O25/(1+J18)^O19</f>
        <v>215.73697258894427</v>
      </c>
      <c r="K26" s="11"/>
      <c r="L26" s="11"/>
      <c r="M26" s="11"/>
      <c r="N26" s="11"/>
      <c r="O26" s="42"/>
      <c r="P26" s="49"/>
    </row>
    <row r="27" spans="8:16" ht="15" thickBot="1" x14ac:dyDescent="0.35"/>
    <row r="28" spans="8:16" x14ac:dyDescent="0.3">
      <c r="H28" s="66" t="s">
        <v>35</v>
      </c>
      <c r="I28" s="67"/>
      <c r="J28" s="67"/>
      <c r="K28" s="67"/>
      <c r="L28" s="67"/>
      <c r="M28" s="67"/>
      <c r="N28" s="67"/>
      <c r="O28" s="67"/>
      <c r="P28" s="68"/>
    </row>
    <row r="29" spans="8:16" x14ac:dyDescent="0.3">
      <c r="H29" s="14" t="s">
        <v>4</v>
      </c>
      <c r="I29" s="15" t="s">
        <v>9</v>
      </c>
      <c r="J29" s="59"/>
      <c r="K29" s="59"/>
      <c r="L29" s="59"/>
      <c r="M29" s="59"/>
      <c r="N29" s="59"/>
      <c r="O29" s="59"/>
      <c r="P29" s="44"/>
    </row>
    <row r="30" spans="8:16" ht="15.6" x14ac:dyDescent="0.35">
      <c r="H30" s="9" t="s">
        <v>12</v>
      </c>
      <c r="I30" s="60" t="s">
        <v>10</v>
      </c>
      <c r="J30" s="56">
        <f>D14+F5*D15</f>
        <v>9.0000000000000011E-2</v>
      </c>
      <c r="P30" s="45"/>
    </row>
    <row r="31" spans="8:16" ht="15.6" x14ac:dyDescent="0.35">
      <c r="H31" s="9" t="s">
        <v>13</v>
      </c>
      <c r="I31" s="60" t="s">
        <v>11</v>
      </c>
      <c r="J31" s="56">
        <f>F8*(1-F7)*F6+J30*(1-F8)</f>
        <v>8.450000000000002E-2</v>
      </c>
      <c r="P31" s="45"/>
    </row>
    <row r="32" spans="8:16" x14ac:dyDescent="0.3">
      <c r="H32" s="9" t="s">
        <v>14</v>
      </c>
      <c r="I32" s="12"/>
      <c r="J32" s="10">
        <v>0</v>
      </c>
      <c r="K32" s="10">
        <v>1</v>
      </c>
      <c r="L32" s="10">
        <v>2</v>
      </c>
      <c r="M32" s="10">
        <v>3</v>
      </c>
      <c r="N32" s="10">
        <v>4</v>
      </c>
      <c r="O32" s="10">
        <v>5</v>
      </c>
      <c r="P32" s="46">
        <v>6</v>
      </c>
    </row>
    <row r="33" spans="8:16" x14ac:dyDescent="0.3">
      <c r="H33" s="9" t="s">
        <v>24</v>
      </c>
      <c r="I33" s="60"/>
      <c r="J33" s="56">
        <f t="shared" ref="J33:O33" si="9">$F$10</f>
        <v>7.3499999999999996E-2</v>
      </c>
      <c r="K33" s="56">
        <f t="shared" si="9"/>
        <v>7.3499999999999996E-2</v>
      </c>
      <c r="L33" s="56">
        <f t="shared" si="9"/>
        <v>7.3499999999999996E-2</v>
      </c>
      <c r="M33" s="56">
        <f t="shared" si="9"/>
        <v>7.3499999999999996E-2</v>
      </c>
      <c r="N33" s="56">
        <f t="shared" si="9"/>
        <v>7.3499999999999996E-2</v>
      </c>
      <c r="O33" s="56">
        <f t="shared" si="9"/>
        <v>7.3499999999999996E-2</v>
      </c>
      <c r="P33" s="47">
        <f>F12</f>
        <v>5.2499999999999998E-2</v>
      </c>
    </row>
    <row r="34" spans="8:16" x14ac:dyDescent="0.3">
      <c r="H34" s="9" t="s">
        <v>25</v>
      </c>
      <c r="I34" s="60" t="s">
        <v>33</v>
      </c>
      <c r="J34" s="10"/>
      <c r="K34" s="61">
        <f>F9</f>
        <v>75</v>
      </c>
      <c r="L34" s="61">
        <f t="shared" ref="L34:P34" si="10">K34*(1+L33)</f>
        <v>80.512499999999989</v>
      </c>
      <c r="M34" s="61">
        <f t="shared" si="10"/>
        <v>86.430168749999979</v>
      </c>
      <c r="N34" s="61">
        <f t="shared" si="10"/>
        <v>92.782786153124974</v>
      </c>
      <c r="O34" s="61">
        <f t="shared" si="10"/>
        <v>99.602320935379652</v>
      </c>
      <c r="P34" s="48">
        <f t="shared" si="10"/>
        <v>104.83144278448708</v>
      </c>
    </row>
    <row r="35" spans="8:16" ht="15.6" x14ac:dyDescent="0.35">
      <c r="H35" s="9" t="s">
        <v>27</v>
      </c>
      <c r="I35" s="60" t="s">
        <v>51</v>
      </c>
      <c r="J35" s="10"/>
      <c r="K35" s="10">
        <f t="shared" ref="K35:P35" si="11">K34*(1-$D$7)</f>
        <v>52.5</v>
      </c>
      <c r="L35" s="10">
        <f t="shared" si="11"/>
        <v>56.358749999999986</v>
      </c>
      <c r="M35" s="10">
        <f t="shared" si="11"/>
        <v>60.501118124999984</v>
      </c>
      <c r="N35" s="10">
        <f t="shared" si="11"/>
        <v>64.947950307187483</v>
      </c>
      <c r="O35" s="10">
        <f t="shared" si="11"/>
        <v>69.721624654765748</v>
      </c>
      <c r="P35" s="46">
        <f t="shared" si="11"/>
        <v>73.382009949140951</v>
      </c>
    </row>
    <row r="36" spans="8:16" x14ac:dyDescent="0.3">
      <c r="H36" s="9" t="s">
        <v>29</v>
      </c>
      <c r="I36" s="60"/>
      <c r="J36" s="10"/>
      <c r="K36" s="61">
        <f>$F$11*K35</f>
        <v>36.75</v>
      </c>
      <c r="L36" s="61">
        <f t="shared" ref="L36:O36" si="12">$F$11*L35</f>
        <v>39.45112499999999</v>
      </c>
      <c r="M36" s="61">
        <f t="shared" si="12"/>
        <v>42.350782687499986</v>
      </c>
      <c r="N36" s="61">
        <f t="shared" si="12"/>
        <v>45.463565215031238</v>
      </c>
      <c r="O36" s="61">
        <f t="shared" si="12"/>
        <v>48.805137258336018</v>
      </c>
      <c r="P36" s="46">
        <f>F13*P35</f>
        <v>42.0625681028476</v>
      </c>
    </row>
    <row r="37" spans="8:16" x14ac:dyDescent="0.3">
      <c r="H37" s="9" t="s">
        <v>30</v>
      </c>
      <c r="I37" s="60" t="s">
        <v>31</v>
      </c>
      <c r="J37" s="10"/>
      <c r="K37" s="10">
        <f>K35-K36</f>
        <v>15.75</v>
      </c>
      <c r="L37" s="10">
        <f t="shared" ref="L37:P37" si="13">L35-L36</f>
        <v>16.907624999999996</v>
      </c>
      <c r="M37" s="10">
        <f t="shared" si="13"/>
        <v>18.150335437499997</v>
      </c>
      <c r="N37" s="10">
        <f t="shared" si="13"/>
        <v>19.484385092156245</v>
      </c>
      <c r="O37" s="10">
        <f t="shared" si="13"/>
        <v>20.91648739642973</v>
      </c>
      <c r="P37" s="19">
        <f t="shared" si="13"/>
        <v>31.319441846293351</v>
      </c>
    </row>
    <row r="38" spans="8:16" x14ac:dyDescent="0.3">
      <c r="H38" s="9" t="s">
        <v>32</v>
      </c>
      <c r="I38" s="60" t="s">
        <v>22</v>
      </c>
      <c r="J38" s="10"/>
      <c r="O38" s="61">
        <f>P37/(J31-P33)</f>
        <v>978.73255769666662</v>
      </c>
      <c r="P38" s="45"/>
    </row>
    <row r="39" spans="8:16" ht="15" thickBot="1" x14ac:dyDescent="0.35">
      <c r="H39" s="16" t="s">
        <v>49</v>
      </c>
      <c r="I39" s="17" t="s">
        <v>23</v>
      </c>
      <c r="J39" s="26">
        <f>K37/(1+J31)^K32+L37/(1+J31)^L32+M37/(1+J31)^M32+N37/(1+J31)^N32+O37/(1+J31)^O32+O38/(1+J31)^O32</f>
        <v>723.55939163261382</v>
      </c>
      <c r="K39" s="11"/>
      <c r="L39" s="11"/>
      <c r="M39" s="11"/>
      <c r="N39" s="11"/>
      <c r="O39" s="42"/>
      <c r="P39" s="49"/>
    </row>
    <row r="41" spans="8:16" x14ac:dyDescent="0.3">
      <c r="J41" s="27"/>
    </row>
    <row r="42" spans="8:16" x14ac:dyDescent="0.3">
      <c r="H42" s="15" t="s">
        <v>47</v>
      </c>
      <c r="I42" s="33" t="s">
        <v>46</v>
      </c>
      <c r="J42" s="27">
        <f>J39-J13-J26</f>
        <v>76.348473865781017</v>
      </c>
    </row>
  </sheetData>
  <mergeCells count="13">
    <mergeCell ref="B5:B8"/>
    <mergeCell ref="D14:F14"/>
    <mergeCell ref="D15:F15"/>
    <mergeCell ref="H15:P15"/>
    <mergeCell ref="H28:P28"/>
    <mergeCell ref="B9:B11"/>
    <mergeCell ref="B12:B13"/>
    <mergeCell ref="B2:F2"/>
    <mergeCell ref="H2:P2"/>
    <mergeCell ref="B3:B4"/>
    <mergeCell ref="C3:C4"/>
    <mergeCell ref="D3:D4"/>
    <mergeCell ref="E3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9682-A140-44C8-909C-FB4A62B125F7}">
  <dimension ref="B1:P42"/>
  <sheetViews>
    <sheetView workbookViewId="0">
      <selection activeCell="H30" sqref="H30:I38"/>
    </sheetView>
  </sheetViews>
  <sheetFormatPr defaultRowHeight="14.4" x14ac:dyDescent="0.3"/>
  <cols>
    <col min="2" max="2" width="26" style="12" bestFit="1" customWidth="1"/>
    <col min="3" max="3" width="29.77734375" bestFit="1" customWidth="1"/>
    <col min="4" max="5" width="12.88671875" style="10" customWidth="1"/>
    <col min="6" max="6" width="18" style="10" bestFit="1" customWidth="1"/>
    <col min="8" max="8" width="35.21875" bestFit="1" customWidth="1"/>
    <col min="9" max="9" width="44.21875" bestFit="1" customWidth="1"/>
    <col min="10" max="10" width="10.5546875" customWidth="1"/>
    <col min="11" max="14" width="9.44140625" customWidth="1"/>
    <col min="15" max="15" width="9.44140625" style="31" customWidth="1"/>
    <col min="16" max="16" width="9.44140625" customWidth="1"/>
  </cols>
  <sheetData>
    <row r="1" spans="2:16" ht="15" thickBot="1" x14ac:dyDescent="0.35"/>
    <row r="2" spans="2:16" x14ac:dyDescent="0.3">
      <c r="B2" s="69" t="s">
        <v>15</v>
      </c>
      <c r="C2" s="70"/>
      <c r="D2" s="70"/>
      <c r="E2" s="70"/>
      <c r="F2" s="71"/>
      <c r="H2" s="72" t="s">
        <v>19</v>
      </c>
      <c r="I2" s="73"/>
      <c r="J2" s="73"/>
      <c r="K2" s="73"/>
      <c r="L2" s="73"/>
      <c r="M2" s="73"/>
      <c r="N2" s="73"/>
      <c r="O2" s="73"/>
      <c r="P2" s="74"/>
    </row>
    <row r="3" spans="2:16" x14ac:dyDescent="0.3">
      <c r="B3" s="75" t="s">
        <v>5</v>
      </c>
      <c r="C3" s="77" t="s">
        <v>4</v>
      </c>
      <c r="D3" s="79" t="s">
        <v>19</v>
      </c>
      <c r="E3" s="81" t="s">
        <v>0</v>
      </c>
      <c r="F3" s="30" t="s">
        <v>16</v>
      </c>
      <c r="H3" s="14" t="s">
        <v>4</v>
      </c>
      <c r="I3" s="15" t="s">
        <v>9</v>
      </c>
      <c r="J3" s="59"/>
      <c r="K3" s="59"/>
      <c r="L3" s="59"/>
      <c r="M3" s="59"/>
      <c r="N3" s="59"/>
      <c r="O3" s="32"/>
      <c r="P3" s="13"/>
    </row>
    <row r="4" spans="2:16" ht="15.6" x14ac:dyDescent="0.35">
      <c r="B4" s="76"/>
      <c r="C4" s="78"/>
      <c r="D4" s="80"/>
      <c r="E4" s="82"/>
      <c r="F4" s="35" t="s">
        <v>34</v>
      </c>
      <c r="H4" s="9" t="s">
        <v>12</v>
      </c>
      <c r="I4" s="60" t="s">
        <v>10</v>
      </c>
      <c r="J4" s="56">
        <f>D14+D5*D15</f>
        <v>9.0000000000000011E-2</v>
      </c>
      <c r="P4" s="2"/>
    </row>
    <row r="5" spans="2:16" ht="15.6" x14ac:dyDescent="0.35">
      <c r="B5" s="85" t="s">
        <v>3</v>
      </c>
      <c r="C5" s="4" t="s">
        <v>1</v>
      </c>
      <c r="D5" s="6">
        <v>1</v>
      </c>
      <c r="E5" s="6">
        <v>1</v>
      </c>
      <c r="F5" s="51">
        <v>1</v>
      </c>
      <c r="H5" s="9" t="s">
        <v>13</v>
      </c>
      <c r="I5" s="60" t="s">
        <v>11</v>
      </c>
      <c r="J5" s="56">
        <f>D8*D6*(1-D7)+(1-D8)*J4</f>
        <v>8.450000000000002E-2</v>
      </c>
      <c r="P5" s="2"/>
    </row>
    <row r="6" spans="2:16" ht="15.6" x14ac:dyDescent="0.3">
      <c r="B6" s="86"/>
      <c r="C6" s="52" t="s">
        <v>21</v>
      </c>
      <c r="D6" s="53">
        <v>0.05</v>
      </c>
      <c r="E6" s="53">
        <v>0.05</v>
      </c>
      <c r="F6" s="64">
        <v>0.03</v>
      </c>
      <c r="H6" s="9" t="s">
        <v>14</v>
      </c>
      <c r="I6" s="12"/>
      <c r="J6" s="10">
        <v>0</v>
      </c>
      <c r="K6" s="10">
        <v>1</v>
      </c>
      <c r="L6" s="10">
        <v>2</v>
      </c>
      <c r="M6" s="10">
        <v>3</v>
      </c>
      <c r="N6" s="10">
        <v>4</v>
      </c>
      <c r="O6" s="22">
        <v>5</v>
      </c>
      <c r="P6" s="19">
        <v>6</v>
      </c>
    </row>
    <row r="7" spans="2:16" x14ac:dyDescent="0.3">
      <c r="B7" s="86"/>
      <c r="C7" s="52" t="s">
        <v>2</v>
      </c>
      <c r="D7" s="53">
        <v>0.3</v>
      </c>
      <c r="E7" s="53">
        <v>0.3</v>
      </c>
      <c r="F7" s="54">
        <f>30%</f>
        <v>0.3</v>
      </c>
      <c r="H7" s="9" t="s">
        <v>24</v>
      </c>
      <c r="I7" s="60"/>
      <c r="J7" s="56"/>
      <c r="K7" s="56">
        <f>$D$10</f>
        <v>7.3499999999999996E-2</v>
      </c>
      <c r="L7" s="56">
        <f>$D$10</f>
        <v>7.3499999999999996E-2</v>
      </c>
      <c r="M7" s="56">
        <f>$D$10</f>
        <v>7.3499999999999996E-2</v>
      </c>
      <c r="N7" s="56">
        <f>$D$10</f>
        <v>7.3499999999999996E-2</v>
      </c>
      <c r="O7" s="23">
        <f>$D$10</f>
        <v>7.3499999999999996E-2</v>
      </c>
      <c r="P7" s="20">
        <f>D12</f>
        <v>4.8399999999999999E-2</v>
      </c>
    </row>
    <row r="8" spans="2:16" ht="15.6" x14ac:dyDescent="0.3">
      <c r="B8" s="87"/>
      <c r="C8" s="5" t="s">
        <v>20</v>
      </c>
      <c r="D8" s="7">
        <v>0.1</v>
      </c>
      <c r="E8" s="7">
        <v>0.1</v>
      </c>
      <c r="F8" s="55">
        <v>0.1</v>
      </c>
      <c r="H8" s="9" t="s">
        <v>25</v>
      </c>
      <c r="I8" s="60" t="s">
        <v>26</v>
      </c>
      <c r="J8" s="10"/>
      <c r="K8" s="61">
        <f>D9</f>
        <v>50</v>
      </c>
      <c r="L8" s="61">
        <f t="shared" ref="L8:P8" si="0">K8*(1+L7)</f>
        <v>53.674999999999997</v>
      </c>
      <c r="M8" s="61">
        <f t="shared" si="0"/>
        <v>57.620112499999991</v>
      </c>
      <c r="N8" s="61">
        <f t="shared" si="0"/>
        <v>61.855190768749985</v>
      </c>
      <c r="O8" s="24">
        <f t="shared" si="0"/>
        <v>66.401547290253106</v>
      </c>
      <c r="P8" s="21">
        <f t="shared" si="0"/>
        <v>69.61538217910136</v>
      </c>
    </row>
    <row r="9" spans="2:16" ht="15.6" customHeight="1" x14ac:dyDescent="0.35">
      <c r="B9" s="83" t="s">
        <v>39</v>
      </c>
      <c r="C9" s="4" t="s">
        <v>37</v>
      </c>
      <c r="D9" s="6">
        <v>50</v>
      </c>
      <c r="E9" s="6">
        <v>25</v>
      </c>
      <c r="F9" s="51">
        <v>75</v>
      </c>
      <c r="H9" s="9" t="s">
        <v>27</v>
      </c>
      <c r="I9" s="60" t="s">
        <v>28</v>
      </c>
      <c r="J9" s="10"/>
      <c r="K9" s="10">
        <f>(1-$D$7)*K8</f>
        <v>35</v>
      </c>
      <c r="L9" s="10">
        <f t="shared" ref="L9:P9" si="1">(1-$D$7)*L8</f>
        <v>37.572499999999998</v>
      </c>
      <c r="M9" s="10">
        <f t="shared" si="1"/>
        <v>40.334078749999989</v>
      </c>
      <c r="N9" s="10">
        <f t="shared" si="1"/>
        <v>43.298633538124989</v>
      </c>
      <c r="O9" s="22">
        <f t="shared" si="1"/>
        <v>46.48108310317717</v>
      </c>
      <c r="P9" s="19">
        <f t="shared" si="1"/>
        <v>48.73076752537095</v>
      </c>
    </row>
    <row r="10" spans="2:16" x14ac:dyDescent="0.3">
      <c r="B10" s="88"/>
      <c r="C10" s="12" t="s">
        <v>40</v>
      </c>
      <c r="D10" s="56">
        <v>7.3499999999999996E-2</v>
      </c>
      <c r="E10" s="56">
        <v>7.3499999999999996E-2</v>
      </c>
      <c r="F10" s="20">
        <v>7.3499999999999996E-2</v>
      </c>
      <c r="H10" s="9" t="s">
        <v>29</v>
      </c>
      <c r="I10" s="60" t="s">
        <v>50</v>
      </c>
      <c r="J10" s="10"/>
      <c r="K10" s="61">
        <f>K9*$D$11</f>
        <v>24.5</v>
      </c>
      <c r="L10" s="61">
        <f t="shared" ref="L10:O10" si="2">L9*$D$11</f>
        <v>26.300749999999997</v>
      </c>
      <c r="M10" s="61">
        <f t="shared" si="2"/>
        <v>28.233855124999991</v>
      </c>
      <c r="N10" s="61">
        <f t="shared" si="2"/>
        <v>30.309043476687489</v>
      </c>
      <c r="O10" s="24">
        <f t="shared" si="2"/>
        <v>32.536758172224019</v>
      </c>
      <c r="P10" s="21">
        <f>P9*D13</f>
        <v>27.932475945542631</v>
      </c>
    </row>
    <row r="11" spans="2:16" x14ac:dyDescent="0.3">
      <c r="B11" s="84"/>
      <c r="C11" s="5" t="s">
        <v>38</v>
      </c>
      <c r="D11" s="37">
        <v>0.7</v>
      </c>
      <c r="E11" s="37">
        <v>0.7</v>
      </c>
      <c r="F11" s="34">
        <v>0.7</v>
      </c>
      <c r="H11" s="9" t="s">
        <v>30</v>
      </c>
      <c r="I11" s="60" t="s">
        <v>31</v>
      </c>
      <c r="J11" s="10"/>
      <c r="K11" s="10">
        <f t="shared" ref="K11:P11" si="3">K9-K10</f>
        <v>10.5</v>
      </c>
      <c r="L11" s="10">
        <f t="shared" si="3"/>
        <v>11.271750000000001</v>
      </c>
      <c r="M11" s="10">
        <f t="shared" si="3"/>
        <v>12.100223624999998</v>
      </c>
      <c r="N11" s="10">
        <f t="shared" si="3"/>
        <v>12.9895900614375</v>
      </c>
      <c r="O11" s="22">
        <f t="shared" si="3"/>
        <v>13.944324930953151</v>
      </c>
      <c r="P11" s="19">
        <f t="shared" si="3"/>
        <v>20.798291579828319</v>
      </c>
    </row>
    <row r="12" spans="2:16" x14ac:dyDescent="0.3">
      <c r="B12" s="83" t="s">
        <v>43</v>
      </c>
      <c r="C12" s="38" t="s">
        <v>41</v>
      </c>
      <c r="D12" s="39">
        <v>4.8399999999999999E-2</v>
      </c>
      <c r="E12" s="39">
        <v>4.8399999999999999E-2</v>
      </c>
      <c r="F12" s="57">
        <f>E12</f>
        <v>4.8399999999999999E-2</v>
      </c>
      <c r="H12" s="9" t="s">
        <v>32</v>
      </c>
      <c r="I12" s="60" t="s">
        <v>22</v>
      </c>
      <c r="J12" s="10"/>
      <c r="O12" s="24">
        <f>P11/(J5-P7)</f>
        <v>576.12996066006394</v>
      </c>
      <c r="P12" s="2"/>
    </row>
    <row r="13" spans="2:16" ht="15" thickBot="1" x14ac:dyDescent="0.35">
      <c r="B13" s="84"/>
      <c r="C13" s="5" t="s">
        <v>38</v>
      </c>
      <c r="D13" s="40">
        <v>0.57320000000000004</v>
      </c>
      <c r="E13" s="40">
        <v>0.57320000000000004</v>
      </c>
      <c r="F13" s="58">
        <v>0.57320000000000004</v>
      </c>
      <c r="H13" s="16" t="s">
        <v>49</v>
      </c>
      <c r="I13" s="17" t="s">
        <v>23</v>
      </c>
      <c r="J13" s="26">
        <f>K11/(1+J5)^K6+L11/(1+J5)^L6+M11/(1+J5)^M6+N11/(1+J5)^N6+O11/(1+J5)^O6+O12/(1+J5)^O6</f>
        <v>431.47394517788854</v>
      </c>
      <c r="K13" s="11"/>
      <c r="L13" s="11"/>
      <c r="M13" s="11"/>
      <c r="N13" s="11"/>
      <c r="O13" s="25"/>
      <c r="P13" s="1"/>
    </row>
    <row r="14" spans="2:16" ht="15" thickBot="1" x14ac:dyDescent="0.35">
      <c r="B14" s="36" t="s">
        <v>42</v>
      </c>
      <c r="C14" s="52" t="s">
        <v>7</v>
      </c>
      <c r="D14" s="89">
        <v>0.02</v>
      </c>
      <c r="E14" s="89"/>
      <c r="F14" s="90"/>
      <c r="J14" s="8"/>
    </row>
    <row r="15" spans="2:16" ht="15" thickBot="1" x14ac:dyDescent="0.35">
      <c r="B15" s="41"/>
      <c r="C15" s="3" t="s">
        <v>8</v>
      </c>
      <c r="D15" s="91">
        <v>7.0000000000000007E-2</v>
      </c>
      <c r="E15" s="91"/>
      <c r="F15" s="92"/>
      <c r="H15" s="93" t="s">
        <v>0</v>
      </c>
      <c r="I15" s="94"/>
      <c r="J15" s="94"/>
      <c r="K15" s="94"/>
      <c r="L15" s="94"/>
      <c r="M15" s="94"/>
      <c r="N15" s="94"/>
      <c r="O15" s="94"/>
      <c r="P15" s="95"/>
    </row>
    <row r="16" spans="2:16" x14ac:dyDescent="0.3">
      <c r="H16" s="14" t="s">
        <v>4</v>
      </c>
      <c r="I16" s="15" t="s">
        <v>9</v>
      </c>
      <c r="J16" s="59"/>
      <c r="K16" s="59"/>
      <c r="L16" s="59"/>
      <c r="M16" s="59"/>
      <c r="N16" s="59"/>
      <c r="O16" s="32"/>
      <c r="P16" s="13"/>
    </row>
    <row r="17" spans="8:16" ht="15.6" x14ac:dyDescent="0.35">
      <c r="H17" s="9" t="s">
        <v>12</v>
      </c>
      <c r="I17" s="60" t="s">
        <v>10</v>
      </c>
      <c r="J17" s="56">
        <f>D14+D15*E5</f>
        <v>9.0000000000000011E-2</v>
      </c>
      <c r="P17" s="2"/>
    </row>
    <row r="18" spans="8:16" ht="15.6" x14ac:dyDescent="0.35">
      <c r="H18" s="9" t="s">
        <v>13</v>
      </c>
      <c r="I18" s="60" t="s">
        <v>11</v>
      </c>
      <c r="J18" s="56">
        <f>(1-E8)*J17+E8*E6*(1-E7)</f>
        <v>8.450000000000002E-2</v>
      </c>
      <c r="P18" s="2"/>
    </row>
    <row r="19" spans="8:16" x14ac:dyDescent="0.3">
      <c r="H19" s="9" t="s">
        <v>14</v>
      </c>
      <c r="I19" s="12"/>
      <c r="J19" s="10">
        <v>0</v>
      </c>
      <c r="K19" s="10">
        <v>1</v>
      </c>
      <c r="L19" s="10">
        <v>2</v>
      </c>
      <c r="M19" s="10">
        <v>3</v>
      </c>
      <c r="N19" s="10">
        <v>4</v>
      </c>
      <c r="O19" s="22">
        <v>5</v>
      </c>
      <c r="P19" s="19">
        <v>6</v>
      </c>
    </row>
    <row r="20" spans="8:16" x14ac:dyDescent="0.3">
      <c r="H20" s="9" t="s">
        <v>24</v>
      </c>
      <c r="I20" s="60"/>
      <c r="J20" s="56"/>
      <c r="K20" s="56">
        <f>$E$10</f>
        <v>7.3499999999999996E-2</v>
      </c>
      <c r="L20" s="56">
        <f t="shared" ref="L20:O20" si="4">$E$10</f>
        <v>7.3499999999999996E-2</v>
      </c>
      <c r="M20" s="56">
        <f t="shared" si="4"/>
        <v>7.3499999999999996E-2</v>
      </c>
      <c r="N20" s="56">
        <f t="shared" si="4"/>
        <v>7.3499999999999996E-2</v>
      </c>
      <c r="O20" s="23">
        <f t="shared" si="4"/>
        <v>7.3499999999999996E-2</v>
      </c>
      <c r="P20" s="20">
        <f>E12</f>
        <v>4.8399999999999999E-2</v>
      </c>
    </row>
    <row r="21" spans="8:16" x14ac:dyDescent="0.3">
      <c r="H21" s="9" t="s">
        <v>25</v>
      </c>
      <c r="I21" s="60" t="s">
        <v>33</v>
      </c>
      <c r="J21" s="10"/>
      <c r="K21" s="61">
        <f>E9</f>
        <v>25</v>
      </c>
      <c r="L21" s="61">
        <f t="shared" ref="L21:P21" si="5">K21*(1+L20)</f>
        <v>26.837499999999999</v>
      </c>
      <c r="M21" s="61">
        <f t="shared" si="5"/>
        <v>28.810056249999995</v>
      </c>
      <c r="N21" s="61">
        <f t="shared" si="5"/>
        <v>30.927595384374992</v>
      </c>
      <c r="O21" s="24">
        <f t="shared" si="5"/>
        <v>33.200773645126553</v>
      </c>
      <c r="P21" s="21">
        <f t="shared" si="5"/>
        <v>34.80769108955068</v>
      </c>
    </row>
    <row r="22" spans="8:16" ht="15.6" x14ac:dyDescent="0.35">
      <c r="H22" s="9" t="s">
        <v>27</v>
      </c>
      <c r="I22" s="60" t="s">
        <v>51</v>
      </c>
      <c r="J22" s="10"/>
      <c r="K22" s="10">
        <f t="shared" ref="K22:P22" si="6">K21*(1-$E$7)</f>
        <v>17.5</v>
      </c>
      <c r="L22" s="10">
        <f t="shared" si="6"/>
        <v>18.786249999999999</v>
      </c>
      <c r="M22" s="10">
        <f t="shared" si="6"/>
        <v>20.167039374999995</v>
      </c>
      <c r="N22" s="10">
        <f t="shared" si="6"/>
        <v>21.649316769062494</v>
      </c>
      <c r="O22" s="22">
        <f t="shared" si="6"/>
        <v>23.240541551588585</v>
      </c>
      <c r="P22" s="19">
        <f t="shared" si="6"/>
        <v>24.365383762685475</v>
      </c>
    </row>
    <row r="23" spans="8:16" x14ac:dyDescent="0.3">
      <c r="H23" s="9" t="s">
        <v>29</v>
      </c>
      <c r="I23" s="60"/>
      <c r="J23" s="10"/>
      <c r="K23" s="10">
        <f>K22*$E$11</f>
        <v>12.25</v>
      </c>
      <c r="L23" s="10">
        <f t="shared" ref="L23:O23" si="7">L22*$E$11</f>
        <v>13.150374999999999</v>
      </c>
      <c r="M23" s="10">
        <f t="shared" si="7"/>
        <v>14.116927562499995</v>
      </c>
      <c r="N23" s="10">
        <f t="shared" si="7"/>
        <v>15.154521738343744</v>
      </c>
      <c r="O23" s="22">
        <f t="shared" si="7"/>
        <v>16.268379086112009</v>
      </c>
      <c r="P23" s="19">
        <f>$E$13*P22</f>
        <v>13.966237972771316</v>
      </c>
    </row>
    <row r="24" spans="8:16" x14ac:dyDescent="0.3">
      <c r="H24" s="9" t="s">
        <v>30</v>
      </c>
      <c r="I24" s="60" t="s">
        <v>31</v>
      </c>
      <c r="J24" s="10"/>
      <c r="K24" s="10">
        <f>K22-K23</f>
        <v>5.25</v>
      </c>
      <c r="L24" s="10">
        <f t="shared" ref="L24:P24" si="8">L22-L23</f>
        <v>5.6358750000000004</v>
      </c>
      <c r="M24" s="10">
        <f t="shared" si="8"/>
        <v>6.0501118124999991</v>
      </c>
      <c r="N24" s="10">
        <f t="shared" si="8"/>
        <v>6.4947950307187501</v>
      </c>
      <c r="O24" s="22">
        <f t="shared" si="8"/>
        <v>6.9721624654765755</v>
      </c>
      <c r="P24" s="19">
        <f t="shared" si="8"/>
        <v>10.39914578991416</v>
      </c>
    </row>
    <row r="25" spans="8:16" x14ac:dyDescent="0.3">
      <c r="H25" s="9" t="s">
        <v>32</v>
      </c>
      <c r="I25" s="60" t="s">
        <v>22</v>
      </c>
      <c r="J25" s="10"/>
      <c r="O25" s="24">
        <f>P24/(J18-P20)</f>
        <v>288.06498033003197</v>
      </c>
      <c r="P25" s="2"/>
    </row>
    <row r="26" spans="8:16" ht="15" thickBot="1" x14ac:dyDescent="0.35">
      <c r="H26" s="16" t="s">
        <v>49</v>
      </c>
      <c r="I26" s="17" t="s">
        <v>23</v>
      </c>
      <c r="J26" s="26">
        <f>K24/(1+J18)^K19+L24/(1+J18)^L19+M24/(1+J18)^M19+N24/(1+J18)^N19+O24/(1+J18)^O19+O25/(1+J18)^O19</f>
        <v>215.73697258894427</v>
      </c>
      <c r="K26" s="11"/>
      <c r="L26" s="11"/>
      <c r="M26" s="11"/>
      <c r="N26" s="11"/>
      <c r="O26" s="25"/>
      <c r="P26" s="1"/>
    </row>
    <row r="27" spans="8:16" ht="15" thickBot="1" x14ac:dyDescent="0.35"/>
    <row r="28" spans="8:16" x14ac:dyDescent="0.3">
      <c r="H28" s="66" t="s">
        <v>35</v>
      </c>
      <c r="I28" s="67"/>
      <c r="J28" s="67"/>
      <c r="K28" s="67"/>
      <c r="L28" s="67"/>
      <c r="M28" s="67"/>
      <c r="N28" s="67"/>
      <c r="O28" s="67"/>
      <c r="P28" s="68"/>
    </row>
    <row r="29" spans="8:16" x14ac:dyDescent="0.3">
      <c r="H29" s="14" t="s">
        <v>4</v>
      </c>
      <c r="I29" s="15" t="s">
        <v>9</v>
      </c>
      <c r="J29" s="59"/>
      <c r="K29" s="59"/>
      <c r="L29" s="59"/>
      <c r="M29" s="59"/>
      <c r="N29" s="59"/>
      <c r="O29" s="32"/>
      <c r="P29" s="13"/>
    </row>
    <row r="30" spans="8:16" ht="15.6" x14ac:dyDescent="0.35">
      <c r="H30" s="9" t="s">
        <v>12</v>
      </c>
      <c r="I30" s="60" t="s">
        <v>10</v>
      </c>
      <c r="J30" s="56">
        <f>D14+F5*D15</f>
        <v>9.0000000000000011E-2</v>
      </c>
      <c r="P30" s="2"/>
    </row>
    <row r="31" spans="8:16" ht="15.6" x14ac:dyDescent="0.35">
      <c r="H31" s="9" t="s">
        <v>13</v>
      </c>
      <c r="I31" s="60" t="s">
        <v>11</v>
      </c>
      <c r="J31" s="56">
        <f>F8*(1-F7)*F6+J30*(1-F8)</f>
        <v>8.3100000000000021E-2</v>
      </c>
      <c r="P31" s="2"/>
    </row>
    <row r="32" spans="8:16" x14ac:dyDescent="0.3">
      <c r="H32" s="9" t="s">
        <v>14</v>
      </c>
      <c r="I32" s="12"/>
      <c r="J32" s="10">
        <v>0</v>
      </c>
      <c r="K32" s="10">
        <v>1</v>
      </c>
      <c r="L32" s="10">
        <v>2</v>
      </c>
      <c r="M32" s="10">
        <v>3</v>
      </c>
      <c r="N32" s="10">
        <v>4</v>
      </c>
      <c r="O32" s="22">
        <v>5</v>
      </c>
      <c r="P32" s="19">
        <v>6</v>
      </c>
    </row>
    <row r="33" spans="8:16" x14ac:dyDescent="0.3">
      <c r="H33" s="9" t="s">
        <v>24</v>
      </c>
      <c r="I33" s="60"/>
      <c r="J33" s="56">
        <f t="shared" ref="J33:O33" si="9">$F$10</f>
        <v>7.3499999999999996E-2</v>
      </c>
      <c r="K33" s="56">
        <f t="shared" si="9"/>
        <v>7.3499999999999996E-2</v>
      </c>
      <c r="L33" s="56">
        <f t="shared" si="9"/>
        <v>7.3499999999999996E-2</v>
      </c>
      <c r="M33" s="56">
        <f t="shared" si="9"/>
        <v>7.3499999999999996E-2</v>
      </c>
      <c r="N33" s="56">
        <f t="shared" si="9"/>
        <v>7.3499999999999996E-2</v>
      </c>
      <c r="O33" s="23">
        <f t="shared" si="9"/>
        <v>7.3499999999999996E-2</v>
      </c>
      <c r="P33" s="20">
        <f>F12</f>
        <v>4.8399999999999999E-2</v>
      </c>
    </row>
    <row r="34" spans="8:16" x14ac:dyDescent="0.3">
      <c r="H34" s="9" t="s">
        <v>25</v>
      </c>
      <c r="I34" s="60" t="s">
        <v>33</v>
      </c>
      <c r="J34" s="10"/>
      <c r="K34" s="61">
        <f>F9</f>
        <v>75</v>
      </c>
      <c r="L34" s="61">
        <f t="shared" ref="L34:P34" si="10">K34*(1+L33)</f>
        <v>80.512499999999989</v>
      </c>
      <c r="M34" s="61">
        <f t="shared" si="10"/>
        <v>86.430168749999979</v>
      </c>
      <c r="N34" s="61">
        <f t="shared" si="10"/>
        <v>92.782786153124974</v>
      </c>
      <c r="O34" s="24">
        <f t="shared" si="10"/>
        <v>99.602320935379652</v>
      </c>
      <c r="P34" s="21">
        <f t="shared" si="10"/>
        <v>104.42307326865203</v>
      </c>
    </row>
    <row r="35" spans="8:16" ht="15.6" x14ac:dyDescent="0.35">
      <c r="H35" s="9" t="s">
        <v>27</v>
      </c>
      <c r="I35" s="60" t="s">
        <v>51</v>
      </c>
      <c r="J35" s="10"/>
      <c r="K35" s="10">
        <f t="shared" ref="K35:P35" si="11">K34*(1-$D$7)</f>
        <v>52.5</v>
      </c>
      <c r="L35" s="10">
        <f t="shared" si="11"/>
        <v>56.358749999999986</v>
      </c>
      <c r="M35" s="10">
        <f t="shared" si="11"/>
        <v>60.501118124999984</v>
      </c>
      <c r="N35" s="10">
        <f t="shared" si="11"/>
        <v>64.947950307187483</v>
      </c>
      <c r="O35" s="22">
        <f t="shared" si="11"/>
        <v>69.721624654765748</v>
      </c>
      <c r="P35" s="19">
        <f t="shared" si="11"/>
        <v>73.096151288056419</v>
      </c>
    </row>
    <row r="36" spans="8:16" x14ac:dyDescent="0.3">
      <c r="H36" s="9" t="s">
        <v>29</v>
      </c>
      <c r="I36" s="60"/>
      <c r="J36" s="10"/>
      <c r="K36" s="61">
        <f>$F$11*K35</f>
        <v>36.75</v>
      </c>
      <c r="L36" s="61">
        <f t="shared" ref="L36:O36" si="12">$F$11*L35</f>
        <v>39.45112499999999</v>
      </c>
      <c r="M36" s="61">
        <f t="shared" si="12"/>
        <v>42.350782687499986</v>
      </c>
      <c r="N36" s="61">
        <f t="shared" si="12"/>
        <v>45.463565215031238</v>
      </c>
      <c r="O36" s="24">
        <f t="shared" si="12"/>
        <v>48.805137258336018</v>
      </c>
      <c r="P36" s="19">
        <f>F13*P35</f>
        <v>41.898713918313945</v>
      </c>
    </row>
    <row r="37" spans="8:16" x14ac:dyDescent="0.3">
      <c r="H37" s="9" t="s">
        <v>30</v>
      </c>
      <c r="I37" s="60" t="s">
        <v>31</v>
      </c>
      <c r="J37" s="10"/>
      <c r="K37" s="10">
        <f>K35-K36</f>
        <v>15.75</v>
      </c>
      <c r="L37" s="10">
        <f t="shared" ref="L37:P37" si="13">L35-L36</f>
        <v>16.907624999999996</v>
      </c>
      <c r="M37" s="10">
        <f t="shared" si="13"/>
        <v>18.150335437499997</v>
      </c>
      <c r="N37" s="10">
        <f t="shared" si="13"/>
        <v>19.484385092156245</v>
      </c>
      <c r="O37" s="22">
        <f t="shared" si="13"/>
        <v>20.91648739642973</v>
      </c>
      <c r="P37" s="19">
        <f t="shared" si="13"/>
        <v>31.197437369742474</v>
      </c>
    </row>
    <row r="38" spans="8:16" x14ac:dyDescent="0.3">
      <c r="H38" s="9" t="s">
        <v>32</v>
      </c>
      <c r="I38" s="60" t="s">
        <v>22</v>
      </c>
      <c r="J38" s="10"/>
      <c r="O38" s="24">
        <f>P37/(J31-P33)</f>
        <v>899.06159566981137</v>
      </c>
      <c r="P38" s="2"/>
    </row>
    <row r="39" spans="8:16" ht="15" thickBot="1" x14ac:dyDescent="0.35">
      <c r="H39" s="16" t="s">
        <v>49</v>
      </c>
      <c r="I39" s="17" t="s">
        <v>23</v>
      </c>
      <c r="J39" s="26">
        <f>K37/(1+J31)^K32+L37/(1+J31)^L32+M37/(1+J31)^M32+N37/(1+J31)^N32+O37/(1+J31)^O32+O38/(1+J31)^O32</f>
        <v>674.61008621881365</v>
      </c>
      <c r="K39" s="11"/>
      <c r="L39" s="11"/>
      <c r="M39" s="11"/>
      <c r="N39" s="11"/>
      <c r="O39" s="25"/>
      <c r="P39" s="1"/>
    </row>
    <row r="41" spans="8:16" x14ac:dyDescent="0.3">
      <c r="J41" s="27"/>
    </row>
    <row r="42" spans="8:16" x14ac:dyDescent="0.3">
      <c r="H42" s="15" t="s">
        <v>48</v>
      </c>
      <c r="I42" s="33" t="s">
        <v>46</v>
      </c>
      <c r="J42" s="27">
        <f>J39-J13-J26</f>
        <v>27.399168451980842</v>
      </c>
    </row>
  </sheetData>
  <mergeCells count="13">
    <mergeCell ref="H28:P28"/>
    <mergeCell ref="B2:F2"/>
    <mergeCell ref="H2:P2"/>
    <mergeCell ref="B3:B4"/>
    <mergeCell ref="C3:C4"/>
    <mergeCell ref="D3:D4"/>
    <mergeCell ref="E3:E4"/>
    <mergeCell ref="B12:B13"/>
    <mergeCell ref="B5:B8"/>
    <mergeCell ref="B9:B11"/>
    <mergeCell ref="D14:F14"/>
    <mergeCell ref="D15:F15"/>
    <mergeCell ref="H15:P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Values</vt:lpstr>
      <vt:lpstr>cost savings</vt:lpstr>
      <vt:lpstr>revenue enhancement</vt:lpstr>
      <vt:lpstr>cost of 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Keke Song</dc:creator>
  <cp:lastModifiedBy>Keke Song</cp:lastModifiedBy>
  <dcterms:created xsi:type="dcterms:W3CDTF">2015-06-05T18:17:20Z</dcterms:created>
  <dcterms:modified xsi:type="dcterms:W3CDTF">2026-05-24T11:53:52Z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524f1f-6176-4541-a517-78364e0657ce_Enabled">
    <vt:lpwstr>true</vt:lpwstr>
  </property>
  <property fmtid="{D5CDD505-2E9C-101B-9397-08002B2CF9AE}" pid="3" name="MSIP_Label_d1524f1f-6176-4541-a517-78364e0657ce_SetDate">
    <vt:lpwstr>2025-05-05T00:08:03Z</vt:lpwstr>
  </property>
  <property fmtid="{D5CDD505-2E9C-101B-9397-08002B2CF9AE}" pid="4" name="MSIP_Label_d1524f1f-6176-4541-a517-78364e0657ce_Method">
    <vt:lpwstr>Standard</vt:lpwstr>
  </property>
  <property fmtid="{D5CDD505-2E9C-101B-9397-08002B2CF9AE}" pid="5" name="MSIP_Label_d1524f1f-6176-4541-a517-78364e0657ce_Name">
    <vt:lpwstr>Internal Use</vt:lpwstr>
  </property>
  <property fmtid="{D5CDD505-2E9C-101B-9397-08002B2CF9AE}" pid="6" name="MSIP_Label_d1524f1f-6176-4541-a517-78364e0657ce_SiteId">
    <vt:lpwstr>f6e78445-b0df-4ce6-b13f-316ef8b33be5</vt:lpwstr>
  </property>
  <property fmtid="{D5CDD505-2E9C-101B-9397-08002B2CF9AE}" pid="7" name="MSIP_Label_d1524f1f-6176-4541-a517-78364e0657ce_ActionId">
    <vt:lpwstr>03fe80ba-d325-493d-b0b8-817b6545fce3</vt:lpwstr>
  </property>
  <property fmtid="{D5CDD505-2E9C-101B-9397-08002B2CF9AE}" pid="8" name="MSIP_Label_d1524f1f-6176-4541-a517-78364e0657ce_ContentBits">
    <vt:lpwstr>0</vt:lpwstr>
  </property>
  <property fmtid="{D5CDD505-2E9C-101B-9397-08002B2CF9AE}" pid="9" name="MSIP_Label_d1524f1f-6176-4541-a517-78364e0657ce_Tag">
    <vt:lpwstr>10, 3, 0, 1</vt:lpwstr>
  </property>
</Properties>
</file>