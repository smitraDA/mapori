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Dropbox\Teaching\0M&amp;A2025T2\module 3 DCFI\"/>
    </mc:Choice>
  </mc:AlternateContent>
  <xr:revisionPtr revIDLastSave="0" documentId="13_ncr:1_{BB3D1CC1-83B4-489D-B99C-136F1EC1BD50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Target historical Info" sheetId="7" r:id="rId1"/>
    <sheet name="Cost of Capital" sheetId="16" r:id="rId2"/>
    <sheet name="Near Term FCFF" sheetId="14" r:id="rId3"/>
    <sheet name="Terminal Value" sheetId="15" r:id="rId4"/>
    <sheet name="AirThread Valuation" sheetId="18" r:id="rId5"/>
  </sheets>
  <definedNames>
    <definedName name="atc_siz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4" l="1"/>
  <c r="F24" i="14"/>
  <c r="G24" i="14"/>
  <c r="H24" i="14"/>
  <c r="E24" i="14"/>
  <c r="C6" i="16"/>
  <c r="C8" i="16"/>
  <c r="C10" i="16" s="1"/>
  <c r="D7" i="15"/>
  <c r="D59" i="14"/>
  <c r="G59" i="14" s="1"/>
  <c r="E59" i="14" l="1"/>
  <c r="F59" i="14"/>
  <c r="I59" i="14"/>
  <c r="H59" i="14"/>
  <c r="B21" i="18"/>
  <c r="B20" i="18"/>
  <c r="D11" i="15"/>
  <c r="B10" i="18"/>
  <c r="C5" i="16"/>
  <c r="E20" i="14"/>
  <c r="I8" i="14"/>
  <c r="H8" i="14"/>
  <c r="G8" i="14"/>
  <c r="F8" i="14"/>
  <c r="E8" i="14"/>
  <c r="E17" i="14"/>
  <c r="E18" i="14" s="1"/>
  <c r="F7" i="18"/>
  <c r="G7" i="18" s="1"/>
  <c r="H7" i="18" s="1"/>
  <c r="I7" i="18" s="1"/>
  <c r="F6" i="14"/>
  <c r="G6" i="14" s="1"/>
  <c r="H6" i="14" s="1"/>
  <c r="I6" i="14" s="1"/>
  <c r="F70" i="14"/>
  <c r="G70" i="14" s="1"/>
  <c r="H70" i="14" s="1"/>
  <c r="I70" i="14" s="1"/>
  <c r="F42" i="14"/>
  <c r="G42" i="14" s="1"/>
  <c r="H42" i="14" s="1"/>
  <c r="I42" i="14" s="1"/>
  <c r="D54" i="14"/>
  <c r="D19" i="14"/>
  <c r="D44" i="14" s="1"/>
  <c r="D12" i="15" l="1"/>
  <c r="E21" i="14"/>
  <c r="E19" i="14"/>
  <c r="F17" i="14"/>
  <c r="D48" i="14"/>
  <c r="D55" i="14" s="1"/>
  <c r="G17" i="14" l="1"/>
  <c r="F20" i="14"/>
  <c r="F18" i="14"/>
  <c r="F21" i="14" s="1"/>
  <c r="E22" i="14"/>
  <c r="E23" i="14" s="1"/>
  <c r="E25" i="14" s="1"/>
  <c r="E52" i="14"/>
  <c r="F16" i="14"/>
  <c r="G16" i="14" s="1"/>
  <c r="H16" i="14" s="1"/>
  <c r="I16" i="14" s="1"/>
  <c r="Q1" i="14"/>
  <c r="E26" i="14" l="1"/>
  <c r="E27" i="14" s="1"/>
  <c r="E7" i="14" s="1"/>
  <c r="F19" i="14"/>
  <c r="H17" i="14"/>
  <c r="G18" i="14"/>
  <c r="G21" i="14" s="1"/>
  <c r="G20" i="14"/>
  <c r="G19" i="14"/>
  <c r="F52" i="14"/>
  <c r="E46" i="14"/>
  <c r="G22" i="14" l="1"/>
  <c r="G23" i="14"/>
  <c r="G25" i="14" s="1"/>
  <c r="F22" i="14"/>
  <c r="F23" i="14" s="1"/>
  <c r="F25" i="14" s="1"/>
  <c r="I17" i="14"/>
  <c r="H18" i="14"/>
  <c r="H21" i="14" s="1"/>
  <c r="H20" i="14"/>
  <c r="H19" i="14"/>
  <c r="H22" i="14" s="1"/>
  <c r="G52" i="14"/>
  <c r="F46" i="14"/>
  <c r="H23" i="14" l="1"/>
  <c r="H25" i="14" s="1"/>
  <c r="F26" i="14"/>
  <c r="F27" i="14" s="1"/>
  <c r="F7" i="14" s="1"/>
  <c r="H26" i="14"/>
  <c r="H27" i="14" s="1"/>
  <c r="H7" i="14" s="1"/>
  <c r="I18" i="14"/>
  <c r="I21" i="14" s="1"/>
  <c r="I20" i="14"/>
  <c r="I19" i="14"/>
  <c r="G26" i="14"/>
  <c r="G27" i="14" s="1"/>
  <c r="G7" i="14" s="1"/>
  <c r="E44" i="14"/>
  <c r="E71" i="14"/>
  <c r="E10" i="14" s="1"/>
  <c r="E45" i="14"/>
  <c r="G46" i="14"/>
  <c r="H52" i="14"/>
  <c r="E53" i="14"/>
  <c r="I22" i="14" l="1"/>
  <c r="I23" i="14" s="1"/>
  <c r="I25" i="14" s="1"/>
  <c r="F44" i="14"/>
  <c r="F71" i="14"/>
  <c r="F10" i="14" s="1"/>
  <c r="E47" i="14"/>
  <c r="E48" i="14" s="1"/>
  <c r="F45" i="14"/>
  <c r="E51" i="14"/>
  <c r="E54" i="14" s="1"/>
  <c r="H46" i="14"/>
  <c r="I52" i="14"/>
  <c r="I26" i="14" l="1"/>
  <c r="I27" i="14"/>
  <c r="I7" i="14" s="1"/>
  <c r="E55" i="14"/>
  <c r="G44" i="14"/>
  <c r="G71" i="14"/>
  <c r="G10" i="14" s="1"/>
  <c r="G45" i="14"/>
  <c r="F51" i="14"/>
  <c r="F53" i="14"/>
  <c r="F47" i="14"/>
  <c r="F48" i="14" s="1"/>
  <c r="I46" i="14"/>
  <c r="E56" i="14" l="1"/>
  <c r="E9" i="14" s="1"/>
  <c r="E11" i="14" s="1"/>
  <c r="E8" i="18" s="1"/>
  <c r="H44" i="14"/>
  <c r="H71" i="14"/>
  <c r="H10" i="14" s="1"/>
  <c r="G53" i="14"/>
  <c r="F54" i="14"/>
  <c r="F55" i="14" s="1"/>
  <c r="F56" i="14" s="1"/>
  <c r="F9" i="14" s="1"/>
  <c r="F11" i="14" s="1"/>
  <c r="F8" i="18" s="1"/>
  <c r="H45" i="14"/>
  <c r="G47" i="14"/>
  <c r="G48" i="14" s="1"/>
  <c r="G51" i="14"/>
  <c r="H51" i="14"/>
  <c r="I44" i="14" l="1"/>
  <c r="I71" i="14"/>
  <c r="I10" i="14" s="1"/>
  <c r="G54" i="14"/>
  <c r="G55" i="14" s="1"/>
  <c r="G56" i="14" s="1"/>
  <c r="G9" i="14" s="1"/>
  <c r="G11" i="14" s="1"/>
  <c r="G8" i="18" s="1"/>
  <c r="H47" i="14"/>
  <c r="H48" i="14" s="1"/>
  <c r="H53" i="14"/>
  <c r="H54" i="14" s="1"/>
  <c r="I45" i="14"/>
  <c r="H55" i="14" l="1"/>
  <c r="H56" i="14" s="1"/>
  <c r="H9" i="14" s="1"/>
  <c r="H11" i="14" s="1"/>
  <c r="H8" i="18" s="1"/>
  <c r="I47" i="14"/>
  <c r="I48" i="14" s="1"/>
  <c r="I53" i="14"/>
  <c r="I51" i="14"/>
  <c r="E37" i="7"/>
  <c r="E43" i="7" s="1"/>
  <c r="F37" i="7"/>
  <c r="F43" i="7" s="1"/>
  <c r="E49" i="7"/>
  <c r="E52" i="7" s="1"/>
  <c r="F49" i="7"/>
  <c r="F52" i="7" s="1"/>
  <c r="E58" i="7"/>
  <c r="F58" i="7"/>
  <c r="E59" i="7" l="1"/>
  <c r="F59" i="7"/>
  <c r="I54" i="14"/>
  <c r="I55" i="14" s="1"/>
  <c r="I56" i="14" s="1"/>
  <c r="I9" i="14" s="1"/>
  <c r="I11" i="14" s="1"/>
  <c r="I8" i="18" l="1"/>
  <c r="B11" i="18" s="1"/>
  <c r="D10" i="15"/>
  <c r="D13" i="15" s="1"/>
  <c r="I9" i="18" s="1"/>
  <c r="B12" i="18" s="1"/>
  <c r="G58" i="7"/>
  <c r="G49" i="7"/>
  <c r="G52" i="7" s="1"/>
  <c r="G37" i="7"/>
  <c r="G12" i="7"/>
  <c r="G14" i="7" s="1"/>
  <c r="G19" i="7" s="1"/>
  <c r="G21" i="7" s="1"/>
  <c r="G23" i="7" s="1"/>
  <c r="G25" i="7" s="1"/>
  <c r="F12" i="7"/>
  <c r="F14" i="7" s="1"/>
  <c r="F19" i="7" s="1"/>
  <c r="F21" i="7" s="1"/>
  <c r="F23" i="7" s="1"/>
  <c r="F25" i="7" s="1"/>
  <c r="E12" i="7"/>
  <c r="E14" i="7" s="1"/>
  <c r="E19" i="7" s="1"/>
  <c r="E21" i="7" s="1"/>
  <c r="E23" i="7" s="1"/>
  <c r="E25" i="7" s="1"/>
  <c r="F7" i="7"/>
  <c r="B13" i="18" l="1"/>
  <c r="B19" i="18" s="1"/>
  <c r="B22" i="18" s="1"/>
  <c r="B25" i="18" s="1"/>
  <c r="B26" i="18" s="1"/>
  <c r="E62" i="7"/>
  <c r="G59" i="7"/>
  <c r="G43" i="7"/>
  <c r="G62" i="7" l="1"/>
  <c r="F62" i="7"/>
</calcChain>
</file>

<file path=xl/sharedStrings.xml><?xml version="1.0" encoding="utf-8"?>
<sst xmlns="http://schemas.openxmlformats.org/spreadsheetml/2006/main" count="152" uniqueCount="123">
  <si>
    <t>Accounts Receivable</t>
  </si>
  <si>
    <t>Accounts Payable</t>
  </si>
  <si>
    <t>Operating Results:</t>
  </si>
  <si>
    <t>Total Revenue</t>
  </si>
  <si>
    <t>Less:  System Operating Expenses</t>
  </si>
  <si>
    <t>Less:  Selling, General &amp; Administrative</t>
  </si>
  <si>
    <t>EBITDA</t>
  </si>
  <si>
    <t>Less:  Depreciation &amp; Amortization</t>
  </si>
  <si>
    <t>EBIT</t>
  </si>
  <si>
    <t>Less:  Interest Expense</t>
  </si>
  <si>
    <t>Plus:  Gains (Losses) on Investments</t>
  </si>
  <si>
    <t>Plus:  Other Income</t>
  </si>
  <si>
    <t>EBT</t>
  </si>
  <si>
    <t>Less:  Taxes</t>
  </si>
  <si>
    <t>Income Before Minority Interest</t>
  </si>
  <si>
    <t>Less:  Minority Interest</t>
  </si>
  <si>
    <t>Net Income</t>
  </si>
  <si>
    <t>Closing</t>
  </si>
  <si>
    <t>Income Statement</t>
  </si>
  <si>
    <t>Cash &amp; Cash Equivalents</t>
  </si>
  <si>
    <t>Inventory</t>
  </si>
  <si>
    <t>Other Current Assets</t>
  </si>
  <si>
    <t>Property, Plan &amp; Equipment</t>
  </si>
  <si>
    <t>Goodwill</t>
  </si>
  <si>
    <t>Total Assets</t>
  </si>
  <si>
    <t>Note Payable</t>
  </si>
  <si>
    <t>Other Current Liabilities</t>
  </si>
  <si>
    <t>Long Term Debt</t>
  </si>
  <si>
    <t>Retained Earnings</t>
  </si>
  <si>
    <t>Balance Sheets</t>
  </si>
  <si>
    <t>Number of shares outstanding</t>
  </si>
  <si>
    <t>EPS ($)</t>
  </si>
  <si>
    <t>AIRTHREAD CONNECTIONS</t>
  </si>
  <si>
    <t>Historical Operating Results (all numbers excep figures at per share level are in millions)</t>
  </si>
  <si>
    <t>Assets</t>
  </si>
  <si>
    <t>Current Assets</t>
  </si>
  <si>
    <t>Liabilities</t>
  </si>
  <si>
    <t>Current Liabilities</t>
  </si>
  <si>
    <t>Total Liabilities</t>
  </si>
  <si>
    <t>Shareholder's Equity</t>
  </si>
  <si>
    <t>Equity Capital</t>
  </si>
  <si>
    <t>Total Liabilities &amp; Shareholder's Equity</t>
  </si>
  <si>
    <t>Intangible assets</t>
  </si>
  <si>
    <t>Noncontrolling interest</t>
  </si>
  <si>
    <t>check</t>
  </si>
  <si>
    <t>Less:  Cost of Goods Sold</t>
  </si>
  <si>
    <t>Prepaid Expenses</t>
  </si>
  <si>
    <t>Total Current Assets</t>
  </si>
  <si>
    <t>Accrued Liabilities</t>
  </si>
  <si>
    <t>Total Current Liabilities</t>
  </si>
  <si>
    <t>Historical</t>
  </si>
  <si>
    <t>Service Revenue</t>
  </si>
  <si>
    <t>Service Revenue Growth</t>
  </si>
  <si>
    <t>Equipment Revenue</t>
  </si>
  <si>
    <t>System Operating Exp./Service Revenue</t>
  </si>
  <si>
    <t>SG&amp;A/Total Revenue</t>
  </si>
  <si>
    <t>Tax Rate</t>
  </si>
  <si>
    <t>Deferred Serv. Revenue</t>
  </si>
  <si>
    <t>Capital Expenditures</t>
  </si>
  <si>
    <t>Cap-x/Total Revenue</t>
  </si>
  <si>
    <t>Pro-Forma</t>
  </si>
  <si>
    <t>Working Capital Assumptions:</t>
  </si>
  <si>
    <t>Income Statement Assumptions :</t>
  </si>
  <si>
    <t xml:space="preserve">Equipment Revenue/Service Revenue </t>
  </si>
  <si>
    <t>Equipment COGS/Equipment Revenue</t>
  </si>
  <si>
    <t>Account Receivable</t>
  </si>
  <si>
    <t>Inventory/Equipment Sales</t>
  </si>
  <si>
    <t>Accounts Payable/Total Operatings Expenses</t>
  </si>
  <si>
    <t>Accounts Receivable/Total Revenue</t>
  </si>
  <si>
    <t>Accrued Liabilities/Total Operating Expenses</t>
  </si>
  <si>
    <t>Deferred Serv. Revenue/Service Revenue</t>
  </si>
  <si>
    <t>Prepaid Expenses/Total Operating Expenses</t>
  </si>
  <si>
    <t>Net Working Capital</t>
  </si>
  <si>
    <t>Change in Net Working Capital</t>
  </si>
  <si>
    <t>FCFF</t>
  </si>
  <si>
    <t>Less: Taxes</t>
  </si>
  <si>
    <t>EBIT*(1-Tc)</t>
  </si>
  <si>
    <t>Income Statements</t>
  </si>
  <si>
    <t>Working Capital</t>
  </si>
  <si>
    <t>Capital Expenditures Assumption:</t>
  </si>
  <si>
    <t>Capital Expenditures Forecasts</t>
  </si>
  <si>
    <t>All numbers excep figures at per share level are in millions</t>
  </si>
  <si>
    <t>Plus: Dep &amp; Amort.</t>
  </si>
  <si>
    <t>Less: Change in Net Working Capital</t>
  </si>
  <si>
    <t>Less: Capital Expenditures</t>
  </si>
  <si>
    <t>Marginal Tax Rate</t>
  </si>
  <si>
    <t>Market Risk Premium</t>
  </si>
  <si>
    <t>Risk-Free Rate</t>
  </si>
  <si>
    <t>Cost of Debt</t>
  </si>
  <si>
    <t>WACC</t>
  </si>
  <si>
    <t>Equity beta</t>
  </si>
  <si>
    <t>Cost of equity</t>
  </si>
  <si>
    <t>D/E</t>
  </si>
  <si>
    <r>
      <rPr>
        <sz val="12"/>
        <color theme="1"/>
        <rFont val="Times New Roman"/>
        <family val="1"/>
      </rPr>
      <t>W</t>
    </r>
    <r>
      <rPr>
        <vertAlign val="subscript"/>
        <sz val="12"/>
        <color theme="1"/>
        <rFont val="Times New Roman"/>
        <family val="1"/>
      </rPr>
      <t>E</t>
    </r>
  </si>
  <si>
    <t>Market Assumptions:</t>
  </si>
  <si>
    <t>Long-Term Growth Rate:</t>
  </si>
  <si>
    <t>Perpeptual Growth Model</t>
  </si>
  <si>
    <t>Est. Long-term EBIT Growth Rate</t>
  </si>
  <si>
    <t>FCFF2012</t>
  </si>
  <si>
    <t>g</t>
  </si>
  <si>
    <t>TV @ 2012</t>
  </si>
  <si>
    <t>Terminal Value using perpeptual growth model</t>
  </si>
  <si>
    <t>Period</t>
  </si>
  <si>
    <t>Year</t>
  </si>
  <si>
    <t>Other non-operating assets</t>
  </si>
  <si>
    <t>Valuation of Operating Assets</t>
  </si>
  <si>
    <t>Valuation of AirThread</t>
  </si>
  <si>
    <t>Less: MV of Debt</t>
  </si>
  <si>
    <t>Less: MV of Other LT Liabilities</t>
  </si>
  <si>
    <t>Value Per Share</t>
  </si>
  <si>
    <r>
      <t>W</t>
    </r>
    <r>
      <rPr>
        <vertAlign val="subscript"/>
        <sz val="12"/>
        <color rgb="FF0070C0"/>
        <rFont val="Times New Roman"/>
        <family val="1"/>
      </rPr>
      <t>D</t>
    </r>
  </si>
  <si>
    <t>MV of Equity</t>
  </si>
  <si>
    <t>Valuation of AirThread's Equity</t>
  </si>
  <si>
    <t>Historical Average ROC</t>
  </si>
  <si>
    <t>Other long-term assets for operation purpose</t>
  </si>
  <si>
    <t>Other long-term Liabilities (Leases)</t>
  </si>
  <si>
    <t>Plus:  Income from other non-operating assets</t>
  </si>
  <si>
    <t>Historical Average NRR</t>
  </si>
  <si>
    <t>PV of Near Term FCFFs</t>
  </si>
  <si>
    <t>PV of Terminal Value</t>
  </si>
  <si>
    <t>Cash &amp; Cash Equivalents/Total Revenue</t>
  </si>
  <si>
    <t>Value of Total Assets</t>
  </si>
  <si>
    <t>Value of Total Assets (or "Total Firm Value")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</si>
</sst>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;\(0\)"/>
    <numFmt numFmtId="165" formatCode="#,##0.0_);\(#,##0.0\)"/>
    <numFmt numFmtId="166" formatCode="0.0"/>
    <numFmt numFmtId="167" formatCode="_-* #,##0_-;\(#,##0\)_-;_-* &quot;-&quot;_-;_-@_-"/>
    <numFmt numFmtId="168" formatCode="_-* #,##0.0_-;\(#,##0.0\)_-;_-* &quot;-&quot;_-;_-@_-"/>
    <numFmt numFmtId="169" formatCode="_(* #,##0.0_);_(* \(#,##0.0\);_(* &quot;-&quot;?_);_(@_)"/>
    <numFmt numFmtId="170" formatCode="0.0%"/>
    <numFmt numFmtId="171" formatCode="#,##0.00&quot;x&quot;;\(#,##0.00&quot;x&quot;\)"/>
    <numFmt numFmtId="172" formatCode="0.0_);\(0.0\)"/>
    <numFmt numFmtId="173" formatCode="0.000"/>
    <numFmt numFmtId="174" formatCode="0.000%"/>
    <numFmt numFmtId="175" formatCode="&quot;$&quot;#,##0.0_);[Red]\(&quot;$&quot;#,##0.0\)"/>
    <numFmt numFmtId="176" formatCode="_(* #,##0.0_);_(* \(#,##0.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i/>
      <u/>
      <sz val="12"/>
      <color theme="1"/>
      <name val="Times New Roman"/>
      <family val="1"/>
    </font>
    <font>
      <sz val="11"/>
      <color theme="1"/>
      <name val="Arial Narrow"/>
      <family val="2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u/>
      <sz val="12"/>
      <color theme="1"/>
      <name val="Times New Roman"/>
      <family val="1"/>
    </font>
    <font>
      <u/>
      <sz val="12"/>
      <color rgb="FF000000"/>
      <name val="Times New Roman"/>
      <family val="1"/>
    </font>
    <font>
      <i/>
      <u/>
      <sz val="12"/>
      <color rgb="FF000000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rgb="FF0070C0"/>
      <name val="Times New Roman"/>
      <family val="1"/>
    </font>
    <font>
      <vertAlign val="subscript"/>
      <sz val="12"/>
      <color rgb="FF0070C0"/>
      <name val="Times New Roman"/>
      <family val="1"/>
    </font>
    <font>
      <sz val="12"/>
      <color rgb="FF0070C0"/>
      <name val="Calibri"/>
      <family val="2"/>
      <scheme val="minor"/>
    </font>
    <font>
      <u/>
      <sz val="12"/>
      <color rgb="FF0070C0"/>
      <name val="Times New Roman"/>
      <family val="1"/>
    </font>
    <font>
      <u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4">
    <xf numFmtId="0" fontId="0" fillId="0" borderId="0" xfId="0"/>
    <xf numFmtId="0" fontId="2" fillId="0" borderId="0" xfId="0" applyFont="1"/>
    <xf numFmtId="37" fontId="6" fillId="0" borderId="0" xfId="0" applyNumberFormat="1" applyFont="1"/>
    <xf numFmtId="37" fontId="3" fillId="0" borderId="0" xfId="0" applyNumberFormat="1" applyFont="1"/>
    <xf numFmtId="165" fontId="3" fillId="0" borderId="0" xfId="0" applyNumberFormat="1" applyFont="1"/>
    <xf numFmtId="167" fontId="3" fillId="0" borderId="0" xfId="2" applyNumberFormat="1" applyFont="1" applyProtection="1">
      <protection locked="0"/>
    </xf>
    <xf numFmtId="167" fontId="2" fillId="0" borderId="0" xfId="2" applyNumberFormat="1" applyFont="1" applyProtection="1">
      <protection locked="0"/>
    </xf>
    <xf numFmtId="167" fontId="3" fillId="0" borderId="5" xfId="2" applyNumberFormat="1" applyFont="1" applyBorder="1" applyProtection="1">
      <protection locked="0"/>
    </xf>
    <xf numFmtId="167" fontId="3" fillId="0" borderId="6" xfId="2" applyNumberFormat="1" applyFont="1" applyBorder="1" applyProtection="1">
      <protection locked="0"/>
    </xf>
    <xf numFmtId="167" fontId="3" fillId="0" borderId="0" xfId="2" applyNumberFormat="1" applyFont="1" applyBorder="1" applyProtection="1">
      <protection locked="0"/>
    </xf>
    <xf numFmtId="167" fontId="3" fillId="0" borderId="2" xfId="2" applyNumberFormat="1" applyFont="1" applyBorder="1" applyProtection="1">
      <protection locked="0"/>
    </xf>
    <xf numFmtId="167" fontId="2" fillId="0" borderId="0" xfId="2" applyNumberFormat="1" applyFont="1" applyAlignment="1" applyProtection="1">
      <alignment horizontal="center"/>
      <protection locked="0"/>
    </xf>
    <xf numFmtId="37" fontId="9" fillId="0" borderId="0" xfId="0" applyNumberFormat="1" applyFont="1" applyAlignment="1">
      <alignment horizontal="center"/>
    </xf>
    <xf numFmtId="37" fontId="10" fillId="0" borderId="0" xfId="0" applyNumberFormat="1" applyFont="1" applyAlignment="1">
      <alignment horizontal="center"/>
    </xf>
    <xf numFmtId="164" fontId="3" fillId="2" borderId="1" xfId="0" applyNumberFormat="1" applyFont="1" applyFill="1" applyBorder="1"/>
    <xf numFmtId="164" fontId="3" fillId="2" borderId="2" xfId="0" applyNumberFormat="1" applyFont="1" applyFill="1" applyBorder="1"/>
    <xf numFmtId="164" fontId="3" fillId="4" borderId="3" xfId="0" applyNumberFormat="1" applyFont="1" applyFill="1" applyBorder="1"/>
    <xf numFmtId="168" fontId="11" fillId="0" borderId="0" xfId="2" applyNumberFormat="1" applyFont="1" applyProtection="1">
      <protection locked="0"/>
    </xf>
    <xf numFmtId="168" fontId="12" fillId="0" borderId="5" xfId="2" applyNumberFormat="1" applyFont="1" applyBorder="1" applyProtection="1">
      <protection locked="0"/>
    </xf>
    <xf numFmtId="168" fontId="12" fillId="0" borderId="6" xfId="2" applyNumberFormat="1" applyFont="1" applyBorder="1" applyProtection="1">
      <protection locked="0"/>
    </xf>
    <xf numFmtId="167" fontId="12" fillId="0" borderId="0" xfId="2" applyNumberFormat="1" applyFont="1" applyBorder="1" applyProtection="1">
      <protection locked="0"/>
    </xf>
    <xf numFmtId="167" fontId="12" fillId="0" borderId="0" xfId="2" applyNumberFormat="1" applyFont="1" applyProtection="1">
      <protection locked="0"/>
    </xf>
    <xf numFmtId="168" fontId="12" fillId="0" borderId="0" xfId="2" applyNumberFormat="1" applyFont="1" applyBorder="1" applyProtection="1">
      <protection locked="0"/>
    </xf>
    <xf numFmtId="168" fontId="12" fillId="0" borderId="0" xfId="2" applyNumberFormat="1" applyFont="1" applyProtection="1">
      <protection locked="0"/>
    </xf>
    <xf numFmtId="168" fontId="12" fillId="0" borderId="2" xfId="2" applyNumberFormat="1" applyFont="1" applyBorder="1" applyProtection="1">
      <protection locked="0"/>
    </xf>
    <xf numFmtId="168" fontId="11" fillId="4" borderId="0" xfId="2" applyNumberFormat="1" applyFont="1" applyFill="1" applyProtection="1">
      <protection locked="0"/>
    </xf>
    <xf numFmtId="168" fontId="12" fillId="4" borderId="5" xfId="2" applyNumberFormat="1" applyFont="1" applyFill="1" applyBorder="1" applyProtection="1">
      <protection locked="0"/>
    </xf>
    <xf numFmtId="168" fontId="12" fillId="4" borderId="6" xfId="2" applyNumberFormat="1" applyFont="1" applyFill="1" applyBorder="1" applyProtection="1">
      <protection locked="0"/>
    </xf>
    <xf numFmtId="167" fontId="12" fillId="4" borderId="0" xfId="2" applyNumberFormat="1" applyFont="1" applyFill="1" applyBorder="1" applyProtection="1">
      <protection locked="0"/>
    </xf>
    <xf numFmtId="167" fontId="12" fillId="4" borderId="0" xfId="2" applyNumberFormat="1" applyFont="1" applyFill="1" applyProtection="1">
      <protection locked="0"/>
    </xf>
    <xf numFmtId="168" fontId="12" fillId="4" borderId="0" xfId="2" applyNumberFormat="1" applyFont="1" applyFill="1" applyBorder="1" applyProtection="1">
      <protection locked="0"/>
    </xf>
    <xf numFmtId="168" fontId="12" fillId="4" borderId="0" xfId="2" applyNumberFormat="1" applyFont="1" applyFill="1" applyProtection="1">
      <protection locked="0"/>
    </xf>
    <xf numFmtId="168" fontId="12" fillId="4" borderId="2" xfId="2" applyNumberFormat="1" applyFont="1" applyFill="1" applyBorder="1" applyProtection="1">
      <protection locked="0"/>
    </xf>
    <xf numFmtId="37" fontId="2" fillId="5" borderId="0" xfId="0" applyNumberFormat="1" applyFont="1" applyFill="1"/>
    <xf numFmtId="37" fontId="2" fillId="0" borderId="0" xfId="0" applyNumberFormat="1" applyFont="1"/>
    <xf numFmtId="37" fontId="2" fillId="0" borderId="0" xfId="0" applyNumberFormat="1" applyFont="1" applyAlignment="1">
      <alignment horizontal="center"/>
    </xf>
    <xf numFmtId="164" fontId="8" fillId="6" borderId="3" xfId="0" applyNumberFormat="1" applyFont="1" applyFill="1" applyBorder="1"/>
    <xf numFmtId="165" fontId="2" fillId="0" borderId="0" xfId="0" applyNumberFormat="1" applyFont="1"/>
    <xf numFmtId="165" fontId="4" fillId="0" borderId="0" xfId="0" applyNumberFormat="1" applyFont="1"/>
    <xf numFmtId="0" fontId="5" fillId="0" borderId="4" xfId="0" applyFont="1" applyBorder="1"/>
    <xf numFmtId="169" fontId="0" fillId="0" borderId="0" xfId="0" applyNumberFormat="1"/>
    <xf numFmtId="164" fontId="3" fillId="0" borderId="0" xfId="0" applyNumberFormat="1" applyFont="1"/>
    <xf numFmtId="164" fontId="8" fillId="6" borderId="7" xfId="0" applyNumberFormat="1" applyFont="1" applyFill="1" applyBorder="1"/>
    <xf numFmtId="165" fontId="2" fillId="4" borderId="0" xfId="0" applyNumberFormat="1" applyFont="1" applyFill="1"/>
    <xf numFmtId="37" fontId="8" fillId="0" borderId="0" xfId="0" applyNumberFormat="1" applyFont="1" applyAlignment="1">
      <alignment horizontal="center"/>
    </xf>
    <xf numFmtId="0" fontId="15" fillId="0" borderId="0" xfId="0" applyFont="1"/>
    <xf numFmtId="37" fontId="15" fillId="0" borderId="0" xfId="0" applyNumberFormat="1" applyFont="1"/>
    <xf numFmtId="37" fontId="13" fillId="0" borderId="0" xfId="0" applyNumberFormat="1" applyFont="1"/>
    <xf numFmtId="37" fontId="13" fillId="0" borderId="0" xfId="0" applyNumberFormat="1" applyFont="1" applyAlignment="1">
      <alignment horizontal="right"/>
    </xf>
    <xf numFmtId="37" fontId="15" fillId="0" borderId="0" xfId="0" applyNumberFormat="1" applyFont="1" applyAlignment="1">
      <alignment horizontal="right"/>
    </xf>
    <xf numFmtId="37" fontId="16" fillId="0" borderId="0" xfId="0" applyNumberFormat="1" applyFont="1"/>
    <xf numFmtId="37" fontId="16" fillId="0" borderId="0" xfId="0" applyNumberFormat="1" applyFont="1" applyAlignment="1">
      <alignment horizontal="right"/>
    </xf>
    <xf numFmtId="0" fontId="15" fillId="7" borderId="0" xfId="0" applyFont="1" applyFill="1"/>
    <xf numFmtId="10" fontId="2" fillId="0" borderId="0" xfId="0" applyNumberFormat="1" applyFont="1"/>
    <xf numFmtId="170" fontId="2" fillId="0" borderId="0" xfId="0" applyNumberFormat="1" applyFont="1"/>
    <xf numFmtId="164" fontId="3" fillId="2" borderId="0" xfId="0" applyNumberFormat="1" applyFont="1" applyFill="1"/>
    <xf numFmtId="164" fontId="2" fillId="0" borderId="0" xfId="0" applyNumberFormat="1" applyFont="1"/>
    <xf numFmtId="0" fontId="3" fillId="0" borderId="0" xfId="0" applyFont="1"/>
    <xf numFmtId="174" fontId="2" fillId="0" borderId="0" xfId="4" applyNumberFormat="1" applyFont="1"/>
    <xf numFmtId="0" fontId="15" fillId="0" borderId="11" xfId="0" applyFont="1" applyBorder="1"/>
    <xf numFmtId="164" fontId="3" fillId="2" borderId="13" xfId="0" applyNumberFormat="1" applyFont="1" applyFill="1" applyBorder="1"/>
    <xf numFmtId="0" fontId="2" fillId="0" borderId="11" xfId="0" applyFont="1" applyBorder="1"/>
    <xf numFmtId="37" fontId="3" fillId="0" borderId="11" xfId="0" applyNumberFormat="1" applyFont="1" applyBorder="1"/>
    <xf numFmtId="2" fontId="3" fillId="0" borderId="14" xfId="0" applyNumberFormat="1" applyFont="1" applyBorder="1" applyAlignment="1">
      <alignment horizontal="right"/>
    </xf>
    <xf numFmtId="37" fontId="2" fillId="0" borderId="11" xfId="0" applyNumberFormat="1" applyFont="1" applyBorder="1"/>
    <xf numFmtId="2" fontId="4" fillId="0" borderId="0" xfId="0" applyNumberFormat="1" applyFont="1"/>
    <xf numFmtId="2" fontId="4" fillId="0" borderId="14" xfId="0" applyNumberFormat="1" applyFont="1" applyBorder="1"/>
    <xf numFmtId="0" fontId="3" fillId="0" borderId="11" xfId="0" applyFont="1" applyBorder="1"/>
    <xf numFmtId="2" fontId="3" fillId="0" borderId="0" xfId="0" applyNumberFormat="1" applyFont="1"/>
    <xf numFmtId="2" fontId="3" fillId="0" borderId="14" xfId="0" applyNumberFormat="1" applyFont="1" applyBorder="1"/>
    <xf numFmtId="0" fontId="2" fillId="0" borderId="14" xfId="0" applyFont="1" applyBorder="1"/>
    <xf numFmtId="37" fontId="17" fillId="0" borderId="11" xfId="0" applyNumberFormat="1" applyFont="1" applyBorder="1"/>
    <xf numFmtId="0" fontId="15" fillId="0" borderId="14" xfId="0" applyFont="1" applyBorder="1"/>
    <xf numFmtId="170" fontId="2" fillId="0" borderId="0" xfId="4" applyNumberFormat="1" applyFont="1" applyBorder="1"/>
    <xf numFmtId="170" fontId="2" fillId="0" borderId="14" xfId="4" applyNumberFormat="1" applyFont="1" applyBorder="1"/>
    <xf numFmtId="10" fontId="2" fillId="0" borderId="0" xfId="4" applyNumberFormat="1" applyFont="1" applyBorder="1"/>
    <xf numFmtId="10" fontId="2" fillId="0" borderId="14" xfId="4" applyNumberFormat="1" applyFont="1" applyBorder="1"/>
    <xf numFmtId="37" fontId="2" fillId="0" borderId="15" xfId="0" applyNumberFormat="1" applyFont="1" applyBorder="1"/>
    <xf numFmtId="0" fontId="15" fillId="0" borderId="16" xfId="0" applyFont="1" applyBorder="1"/>
    <xf numFmtId="170" fontId="2" fillId="0" borderId="16" xfId="0" applyNumberFormat="1" applyFont="1" applyBorder="1"/>
    <xf numFmtId="170" fontId="2" fillId="0" borderId="17" xfId="0" applyNumberFormat="1" applyFont="1" applyBorder="1"/>
    <xf numFmtId="2" fontId="2" fillId="0" borderId="14" xfId="0" applyNumberFormat="1" applyFont="1" applyBorder="1"/>
    <xf numFmtId="0" fontId="4" fillId="0" borderId="11" xfId="0" applyFont="1" applyBorder="1"/>
    <xf numFmtId="37" fontId="4" fillId="0" borderId="11" xfId="0" applyNumberFormat="1" applyFont="1" applyBorder="1"/>
    <xf numFmtId="165" fontId="3" fillId="0" borderId="14" xfId="0" applyNumberFormat="1" applyFont="1" applyBorder="1"/>
    <xf numFmtId="0" fontId="3" fillId="0" borderId="15" xfId="0" applyFont="1" applyBorder="1"/>
    <xf numFmtId="0" fontId="3" fillId="0" borderId="16" xfId="0" applyFont="1" applyBorder="1"/>
    <xf numFmtId="0" fontId="2" fillId="0" borderId="15" xfId="0" applyFont="1" applyBorder="1"/>
    <xf numFmtId="0" fontId="2" fillId="0" borderId="16" xfId="0" applyFont="1" applyBorder="1"/>
    <xf numFmtId="37" fontId="2" fillId="0" borderId="14" xfId="0" applyNumberFormat="1" applyFont="1" applyBorder="1"/>
    <xf numFmtId="37" fontId="6" fillId="0" borderId="11" xfId="0" applyNumberFormat="1" applyFont="1" applyBorder="1"/>
    <xf numFmtId="171" fontId="2" fillId="0" borderId="0" xfId="0" applyNumberFormat="1" applyFont="1"/>
    <xf numFmtId="10" fontId="2" fillId="0" borderId="14" xfId="0" applyNumberFormat="1" applyFont="1" applyBorder="1"/>
    <xf numFmtId="37" fontId="2" fillId="0" borderId="16" xfId="0" applyNumberFormat="1" applyFont="1" applyBorder="1"/>
    <xf numFmtId="37" fontId="2" fillId="0" borderId="8" xfId="0" applyNumberFormat="1" applyFont="1" applyBorder="1"/>
    <xf numFmtId="37" fontId="2" fillId="0" borderId="9" xfId="0" applyNumberFormat="1" applyFont="1" applyBorder="1"/>
    <xf numFmtId="164" fontId="2" fillId="0" borderId="14" xfId="0" applyNumberFormat="1" applyFont="1" applyBorder="1"/>
    <xf numFmtId="164" fontId="3" fillId="0" borderId="14" xfId="0" applyNumberFormat="1" applyFont="1" applyBorder="1"/>
    <xf numFmtId="37" fontId="14" fillId="0" borderId="15" xfId="0" applyNumberFormat="1" applyFont="1" applyBorder="1"/>
    <xf numFmtId="37" fontId="14" fillId="0" borderId="16" xfId="0" applyNumberFormat="1" applyFont="1" applyBorder="1"/>
    <xf numFmtId="170" fontId="14" fillId="0" borderId="16" xfId="0" applyNumberFormat="1" applyFont="1" applyBorder="1"/>
    <xf numFmtId="170" fontId="14" fillId="0" borderId="17" xfId="0" applyNumberFormat="1" applyFont="1" applyBorder="1"/>
    <xf numFmtId="171" fontId="2" fillId="0" borderId="9" xfId="0" applyNumberFormat="1" applyFont="1" applyBorder="1"/>
    <xf numFmtId="171" fontId="2" fillId="0" borderId="10" xfId="0" applyNumberFormat="1" applyFont="1" applyBorder="1"/>
    <xf numFmtId="37" fontId="9" fillId="0" borderId="11" xfId="0" applyNumberFormat="1" applyFont="1" applyBorder="1" applyAlignment="1">
      <alignment horizontal="center"/>
    </xf>
    <xf numFmtId="39" fontId="10" fillId="0" borderId="0" xfId="0" applyNumberFormat="1" applyFont="1" applyAlignment="1">
      <alignment horizontal="right"/>
    </xf>
    <xf numFmtId="39" fontId="10" fillId="0" borderId="14" xfId="0" applyNumberFormat="1" applyFont="1" applyBorder="1" applyAlignment="1">
      <alignment horizontal="right"/>
    </xf>
    <xf numFmtId="0" fontId="2" fillId="0" borderId="11" xfId="0" quotePrefix="1" applyFont="1" applyBorder="1"/>
    <xf numFmtId="37" fontId="8" fillId="0" borderId="15" xfId="0" applyNumberFormat="1" applyFont="1" applyBorder="1" applyAlignment="1">
      <alignment horizontal="left"/>
    </xf>
    <xf numFmtId="37" fontId="9" fillId="0" borderId="16" xfId="0" applyNumberFormat="1" applyFont="1" applyBorder="1" applyAlignment="1">
      <alignment horizontal="center"/>
    </xf>
    <xf numFmtId="39" fontId="8" fillId="0" borderId="16" xfId="0" applyNumberFormat="1" applyFont="1" applyBorder="1" applyAlignment="1">
      <alignment horizontal="right"/>
    </xf>
    <xf numFmtId="39" fontId="8" fillId="0" borderId="17" xfId="0" applyNumberFormat="1" applyFont="1" applyBorder="1" applyAlignment="1">
      <alignment horizontal="right"/>
    </xf>
    <xf numFmtId="37" fontId="19" fillId="0" borderId="0" xfId="0" applyNumberFormat="1" applyFont="1" applyAlignment="1">
      <alignment horizontal="center"/>
    </xf>
    <xf numFmtId="39" fontId="18" fillId="0" borderId="0" xfId="0" applyNumberFormat="1" applyFont="1"/>
    <xf numFmtId="39" fontId="18" fillId="0" borderId="14" xfId="0" applyNumberFormat="1" applyFont="1" applyBorder="1"/>
    <xf numFmtId="0" fontId="0" fillId="0" borderId="16" xfId="0" applyBorder="1"/>
    <xf numFmtId="170" fontId="2" fillId="0" borderId="14" xfId="0" applyNumberFormat="1" applyFont="1" applyBorder="1"/>
    <xf numFmtId="0" fontId="20" fillId="0" borderId="11" xfId="0" applyFont="1" applyBorder="1"/>
    <xf numFmtId="10" fontId="2" fillId="0" borderId="17" xfId="0" applyNumberFormat="1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164" fontId="3" fillId="2" borderId="18" xfId="0" applyNumberFormat="1" applyFont="1" applyFill="1" applyBorder="1"/>
    <xf numFmtId="170" fontId="3" fillId="0" borderId="14" xfId="0" applyNumberFormat="1" applyFont="1" applyBorder="1"/>
    <xf numFmtId="39" fontId="2" fillId="0" borderId="14" xfId="0" applyNumberFormat="1" applyFont="1" applyBorder="1"/>
    <xf numFmtId="37" fontId="3" fillId="0" borderId="15" xfId="0" applyNumberFormat="1" applyFont="1" applyBorder="1"/>
    <xf numFmtId="166" fontId="3" fillId="0" borderId="17" xfId="0" applyNumberFormat="1" applyFont="1" applyBorder="1"/>
    <xf numFmtId="0" fontId="2" fillId="7" borderId="0" xfId="0" applyFont="1" applyFill="1"/>
    <xf numFmtId="175" fontId="3" fillId="0" borderId="0" xfId="0" applyNumberFormat="1" applyFont="1"/>
    <xf numFmtId="37" fontId="8" fillId="0" borderId="11" xfId="0" applyNumberFormat="1" applyFont="1" applyBorder="1" applyAlignment="1">
      <alignment horizontal="left"/>
    </xf>
    <xf numFmtId="37" fontId="9" fillId="0" borderId="11" xfId="0" applyNumberFormat="1" applyFont="1" applyBorder="1" applyAlignment="1">
      <alignment horizontal="left"/>
    </xf>
    <xf numFmtId="37" fontId="10" fillId="0" borderId="11" xfId="0" applyNumberFormat="1" applyFont="1" applyBorder="1" applyAlignment="1">
      <alignment horizontal="left"/>
    </xf>
    <xf numFmtId="37" fontId="10" fillId="0" borderId="14" xfId="0" applyNumberFormat="1" applyFont="1" applyBorder="1" applyAlignment="1">
      <alignment horizontal="center"/>
    </xf>
    <xf numFmtId="175" fontId="2" fillId="0" borderId="0" xfId="0" applyNumberFormat="1" applyFont="1"/>
    <xf numFmtId="176" fontId="2" fillId="0" borderId="0" xfId="3" applyNumberFormat="1" applyFont="1" applyBorder="1"/>
    <xf numFmtId="164" fontId="3" fillId="2" borderId="14" xfId="0" applyNumberFormat="1" applyFont="1" applyFill="1" applyBorder="1"/>
    <xf numFmtId="0" fontId="0" fillId="0" borderId="14" xfId="0" applyBorder="1"/>
    <xf numFmtId="175" fontId="3" fillId="0" borderId="16" xfId="0" applyNumberFormat="1" applyFont="1" applyBorder="1"/>
    <xf numFmtId="0" fontId="0" fillId="0" borderId="17" xfId="0" applyBorder="1"/>
    <xf numFmtId="44" fontId="8" fillId="0" borderId="0" xfId="1" applyFont="1" applyBorder="1" applyAlignment="1">
      <alignment horizontal="right"/>
    </xf>
    <xf numFmtId="44" fontId="8" fillId="0" borderId="14" xfId="1" applyFont="1" applyBorder="1" applyAlignment="1">
      <alignment horizontal="right"/>
    </xf>
    <xf numFmtId="44" fontId="3" fillId="0" borderId="14" xfId="1" applyFont="1" applyBorder="1"/>
    <xf numFmtId="175" fontId="2" fillId="0" borderId="14" xfId="0" applyNumberFormat="1" applyFont="1" applyBorder="1"/>
    <xf numFmtId="0" fontId="4" fillId="0" borderId="14" xfId="0" applyFont="1" applyBorder="1"/>
    <xf numFmtId="8" fontId="3" fillId="0" borderId="14" xfId="0" applyNumberFormat="1" applyFont="1" applyBorder="1"/>
    <xf numFmtId="8" fontId="3" fillId="0" borderId="17" xfId="0" applyNumberFormat="1" applyFont="1" applyBorder="1"/>
    <xf numFmtId="175" fontId="3" fillId="0" borderId="14" xfId="0" applyNumberFormat="1" applyFont="1" applyBorder="1"/>
    <xf numFmtId="43" fontId="0" fillId="0" borderId="0" xfId="0" applyNumberFormat="1"/>
    <xf numFmtId="0" fontId="21" fillId="0" borderId="11" xfId="0" applyFont="1" applyBorder="1"/>
    <xf numFmtId="0" fontId="23" fillId="0" borderId="0" xfId="0" applyFont="1"/>
    <xf numFmtId="170" fontId="21" fillId="0" borderId="14" xfId="0" applyNumberFormat="1" applyFont="1" applyBorder="1"/>
    <xf numFmtId="173" fontId="21" fillId="0" borderId="14" xfId="0" applyNumberFormat="1" applyFont="1" applyBorder="1"/>
    <xf numFmtId="2" fontId="24" fillId="0" borderId="14" xfId="0" applyNumberFormat="1" applyFont="1" applyBorder="1" applyAlignment="1">
      <alignment horizontal="right"/>
    </xf>
    <xf numFmtId="2" fontId="11" fillId="0" borderId="14" xfId="0" applyNumberFormat="1" applyFont="1" applyBorder="1" applyAlignment="1">
      <alignment horizontal="right"/>
    </xf>
    <xf numFmtId="2" fontId="25" fillId="0" borderId="14" xfId="0" applyNumberFormat="1" applyFont="1" applyBorder="1" applyAlignment="1">
      <alignment horizontal="right"/>
    </xf>
    <xf numFmtId="2" fontId="12" fillId="0" borderId="14" xfId="0" applyNumberFormat="1" applyFont="1" applyBorder="1" applyAlignment="1">
      <alignment horizontal="right"/>
    </xf>
    <xf numFmtId="10" fontId="2" fillId="0" borderId="16" xfId="4" applyNumberFormat="1" applyFont="1" applyBorder="1"/>
    <xf numFmtId="10" fontId="2" fillId="0" borderId="17" xfId="4" applyNumberFormat="1" applyFont="1" applyBorder="1"/>
    <xf numFmtId="10" fontId="21" fillId="0" borderId="14" xfId="0" applyNumberFormat="1" applyFont="1" applyBorder="1"/>
    <xf numFmtId="165" fontId="0" fillId="0" borderId="0" xfId="0" applyNumberFormat="1"/>
    <xf numFmtId="10" fontId="3" fillId="0" borderId="14" xfId="0" applyNumberFormat="1" applyFont="1" applyBorder="1"/>
    <xf numFmtId="2" fontId="2" fillId="0" borderId="0" xfId="0" applyNumberFormat="1" applyFont="1"/>
    <xf numFmtId="0" fontId="4" fillId="0" borderId="0" xfId="0" applyFont="1"/>
    <xf numFmtId="172" fontId="10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/>
    </xf>
    <xf numFmtId="172" fontId="18" fillId="0" borderId="0" xfId="0" applyNumberFormat="1" applyFont="1" applyAlignment="1">
      <alignment horizontal="right"/>
    </xf>
    <xf numFmtId="2" fontId="25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2" fontId="1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2" fontId="24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37" fontId="9" fillId="0" borderId="0" xfId="0" applyNumberFormat="1" applyFont="1" applyAlignment="1">
      <alignment horizontal="center"/>
    </xf>
    <xf numFmtId="37" fontId="3" fillId="0" borderId="5" xfId="0" applyNumberFormat="1" applyFont="1" applyBorder="1" applyAlignment="1">
      <alignment horizontal="center"/>
    </xf>
    <xf numFmtId="37" fontId="8" fillId="0" borderId="5" xfId="0" applyNumberFormat="1" applyFont="1" applyBorder="1" applyAlignment="1">
      <alignment horizontal="center"/>
    </xf>
    <xf numFmtId="37" fontId="12" fillId="3" borderId="0" xfId="0" applyNumberFormat="1" applyFont="1" applyFill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37" fontId="3" fillId="0" borderId="4" xfId="0" applyNumberFormat="1" applyFont="1" applyBorder="1" applyAlignment="1">
      <alignment horizontal="center"/>
    </xf>
    <xf numFmtId="37" fontId="3" fillId="0" borderId="12" xfId="0" applyNumberFormat="1" applyFont="1" applyBorder="1" applyAlignment="1">
      <alignment horizontal="center"/>
    </xf>
    <xf numFmtId="37" fontId="13" fillId="0" borderId="8" xfId="0" applyNumberFormat="1" applyFont="1" applyBorder="1" applyAlignment="1">
      <alignment horizontal="center"/>
    </xf>
    <xf numFmtId="37" fontId="13" fillId="0" borderId="9" xfId="0" applyNumberFormat="1" applyFont="1" applyBorder="1" applyAlignment="1">
      <alignment horizontal="center"/>
    </xf>
    <xf numFmtId="37" fontId="13" fillId="0" borderId="10" xfId="0" applyNumberFormat="1" applyFont="1" applyBorder="1" applyAlignment="1">
      <alignment horizontal="center"/>
    </xf>
    <xf numFmtId="37" fontId="3" fillId="0" borderId="11" xfId="0" applyNumberFormat="1" applyFont="1" applyBorder="1" applyAlignment="1">
      <alignment horizontal="center"/>
    </xf>
    <xf numFmtId="37" fontId="3" fillId="0" borderId="0" xfId="0" applyNumberFormat="1" applyFont="1" applyAlignment="1">
      <alignment horizontal="center"/>
    </xf>
    <xf numFmtId="37" fontId="3" fillId="0" borderId="14" xfId="0" applyNumberFormat="1" applyFont="1" applyBorder="1" applyAlignment="1">
      <alignment horizontal="center"/>
    </xf>
    <xf numFmtId="37" fontId="8" fillId="0" borderId="8" xfId="0" applyNumberFormat="1" applyFont="1" applyBorder="1" applyAlignment="1">
      <alignment horizontal="center"/>
    </xf>
    <xf numFmtId="37" fontId="8" fillId="0" borderId="9" xfId="0" applyNumberFormat="1" applyFont="1" applyBorder="1" applyAlignment="1">
      <alignment horizontal="center"/>
    </xf>
    <xf numFmtId="37" fontId="8" fillId="0" borderId="10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67" fontId="2" fillId="0" borderId="0" xfId="2" applyNumberFormat="1" applyFont="1" applyAlignment="1" applyProtection="1">
      <protection locked="0"/>
    </xf>
  </cellXfs>
  <cellStyles count="5">
    <cellStyle name="Comma" xfId="3" builtinId="3"/>
    <cellStyle name="Comma 3" xfId="2" xr:uid="{72C0FA1D-9492-4976-8B9B-BB2C6440856C}"/>
    <cellStyle name="Currency" xfId="1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B208-3336-44B3-B811-948BF9389B67}">
  <dimension ref="A1:M62"/>
  <sheetViews>
    <sheetView workbookViewId="0">
      <selection activeCell="A33" sqref="A33"/>
    </sheetView>
  </sheetViews>
  <sheetFormatPr defaultRowHeight="14.4" x14ac:dyDescent="0.3"/>
  <cols>
    <col min="1" max="1" width="44.77734375" bestFit="1" customWidth="1"/>
    <col min="5" max="7" width="10.6640625" bestFit="1" customWidth="1"/>
  </cols>
  <sheetData>
    <row r="1" spans="1:7" ht="15.6" x14ac:dyDescent="0.3">
      <c r="A1" s="175" t="s">
        <v>32</v>
      </c>
      <c r="B1" s="175"/>
      <c r="C1" s="175"/>
      <c r="D1" s="175"/>
      <c r="E1" s="175"/>
      <c r="F1" s="175"/>
      <c r="G1" s="175"/>
    </row>
    <row r="2" spans="1:7" ht="15.6" x14ac:dyDescent="0.3">
      <c r="A2" s="33"/>
      <c r="B2" s="33"/>
      <c r="C2" s="33"/>
      <c r="D2" s="33"/>
      <c r="E2" s="33"/>
      <c r="F2" s="33"/>
      <c r="G2" s="33"/>
    </row>
    <row r="3" spans="1:7" ht="15.6" x14ac:dyDescent="0.3">
      <c r="A3" s="172" t="s">
        <v>33</v>
      </c>
      <c r="B3" s="172"/>
      <c r="C3" s="172"/>
      <c r="D3" s="172"/>
      <c r="E3" s="172"/>
      <c r="F3" s="172"/>
      <c r="G3" s="172"/>
    </row>
    <row r="4" spans="1:7" ht="15.6" x14ac:dyDescent="0.3">
      <c r="A4" s="34"/>
      <c r="B4" s="34"/>
      <c r="C4" s="34"/>
      <c r="D4" s="34"/>
      <c r="E4" s="34"/>
      <c r="F4" s="34"/>
      <c r="G4" s="34"/>
    </row>
    <row r="5" spans="1:7" ht="15.6" x14ac:dyDescent="0.3">
      <c r="A5" s="173" t="s">
        <v>18</v>
      </c>
      <c r="B5" s="173"/>
      <c r="C5" s="173"/>
      <c r="D5" s="173"/>
      <c r="E5" s="173"/>
      <c r="F5" s="173"/>
      <c r="G5" s="173"/>
    </row>
    <row r="6" spans="1:7" ht="15.6" x14ac:dyDescent="0.3">
      <c r="A6" s="34"/>
      <c r="B6" s="34"/>
      <c r="C6" s="34"/>
      <c r="D6" s="34"/>
      <c r="E6" s="34"/>
      <c r="F6" s="34"/>
      <c r="G6" s="35" t="s">
        <v>17</v>
      </c>
    </row>
    <row r="7" spans="1:7" ht="15.6" x14ac:dyDescent="0.3">
      <c r="A7" s="2" t="s">
        <v>2</v>
      </c>
      <c r="B7" s="34"/>
      <c r="C7" s="34"/>
      <c r="D7" s="34"/>
      <c r="E7" s="14">
        <v>2005</v>
      </c>
      <c r="F7" s="15">
        <f>E7+1</f>
        <v>2006</v>
      </c>
      <c r="G7" s="36">
        <v>2007</v>
      </c>
    </row>
    <row r="8" spans="1:7" ht="15.6" x14ac:dyDescent="0.3">
      <c r="A8" s="3" t="s">
        <v>3</v>
      </c>
      <c r="B8" s="3"/>
      <c r="C8" s="3"/>
      <c r="D8" s="3"/>
      <c r="E8" s="37">
        <v>3030.7649999999999</v>
      </c>
      <c r="F8" s="37">
        <v>3473.1549999999997</v>
      </c>
      <c r="G8" s="37">
        <v>3946.2640000000001</v>
      </c>
    </row>
    <row r="9" spans="1:7" ht="15.6" x14ac:dyDescent="0.3">
      <c r="A9" s="34" t="s">
        <v>4</v>
      </c>
      <c r="B9" s="34"/>
      <c r="C9" s="34"/>
      <c r="D9" s="34"/>
      <c r="E9" s="37">
        <v>604.09299999999996</v>
      </c>
      <c r="F9" s="37">
        <v>639.68299999999999</v>
      </c>
      <c r="G9" s="37">
        <v>717.07500000000005</v>
      </c>
    </row>
    <row r="10" spans="1:7" ht="15.6" x14ac:dyDescent="0.3">
      <c r="A10" s="34" t="s">
        <v>45</v>
      </c>
      <c r="B10" s="34"/>
      <c r="C10" s="34"/>
      <c r="D10" s="34"/>
      <c r="E10" s="37">
        <v>511.93900000000002</v>
      </c>
      <c r="F10" s="37">
        <v>568.90300000000002</v>
      </c>
      <c r="G10" s="37">
        <v>640.22500000000002</v>
      </c>
    </row>
    <row r="11" spans="1:7" ht="15.6" x14ac:dyDescent="0.3">
      <c r="A11" s="34" t="s">
        <v>5</v>
      </c>
      <c r="B11" s="34"/>
      <c r="C11" s="34"/>
      <c r="D11" s="34"/>
      <c r="E11" s="38">
        <v>1217.7090000000001</v>
      </c>
      <c r="F11" s="38">
        <v>1399.5609999999999</v>
      </c>
      <c r="G11" s="38">
        <v>1555.6389999999999</v>
      </c>
    </row>
    <row r="12" spans="1:7" ht="15.6" x14ac:dyDescent="0.3">
      <c r="A12" s="3" t="s">
        <v>6</v>
      </c>
      <c r="B12" s="3"/>
      <c r="C12" s="3"/>
      <c r="D12" s="3"/>
      <c r="E12" s="4">
        <f>E8-SUM(E9:E11)</f>
        <v>697.02399999999989</v>
      </c>
      <c r="F12" s="4">
        <f>F8-SUM(F9:F11)</f>
        <v>865.00799999999981</v>
      </c>
      <c r="G12" s="4">
        <f>G8-SUM(G9:G11)</f>
        <v>1033.3249999999998</v>
      </c>
    </row>
    <row r="13" spans="1:7" ht="15.6" x14ac:dyDescent="0.3">
      <c r="A13" s="34" t="s">
        <v>7</v>
      </c>
      <c r="B13" s="34"/>
      <c r="C13" s="34"/>
      <c r="D13" s="34"/>
      <c r="E13" s="38">
        <v>490.09300000000002</v>
      </c>
      <c r="F13" s="38">
        <v>555.52499999999998</v>
      </c>
      <c r="G13" s="38">
        <v>582.26900000000001</v>
      </c>
    </row>
    <row r="14" spans="1:7" ht="15.6" x14ac:dyDescent="0.3">
      <c r="A14" s="3" t="s">
        <v>8</v>
      </c>
      <c r="B14" s="3"/>
      <c r="C14" s="3"/>
      <c r="D14" s="3"/>
      <c r="E14" s="4">
        <f>E12-E13</f>
        <v>206.93099999999987</v>
      </c>
      <c r="F14" s="4">
        <f>F12-F13</f>
        <v>309.48299999999983</v>
      </c>
      <c r="G14" s="4">
        <f>G12-G13</f>
        <v>451.05599999999981</v>
      </c>
    </row>
    <row r="15" spans="1:7" ht="15.6" x14ac:dyDescent="0.3">
      <c r="A15" s="34" t="s">
        <v>9</v>
      </c>
      <c r="B15" s="34"/>
      <c r="C15" s="34"/>
      <c r="D15" s="34"/>
      <c r="E15" s="37">
        <v>84.867000000000004</v>
      </c>
      <c r="F15" s="37">
        <v>93.674000000000007</v>
      </c>
      <c r="G15" s="37">
        <v>84.679000000000002</v>
      </c>
    </row>
    <row r="16" spans="1:7" ht="15.6" x14ac:dyDescent="0.3">
      <c r="A16" s="34" t="s">
        <v>116</v>
      </c>
      <c r="B16" s="34"/>
      <c r="C16" s="34"/>
      <c r="D16" s="34"/>
      <c r="E16" s="37">
        <v>66.718999999999994</v>
      </c>
      <c r="F16" s="37">
        <v>93.119</v>
      </c>
      <c r="G16" s="37">
        <v>90.033000000000001</v>
      </c>
    </row>
    <row r="17" spans="1:13" ht="15.6" x14ac:dyDescent="0.3">
      <c r="A17" s="34" t="s">
        <v>10</v>
      </c>
      <c r="B17" s="34"/>
      <c r="C17" s="34"/>
      <c r="D17" s="34"/>
      <c r="E17" s="37">
        <v>18.062999999999999</v>
      </c>
      <c r="F17" s="37">
        <v>50.84</v>
      </c>
      <c r="G17" s="37">
        <v>83.13</v>
      </c>
    </row>
    <row r="18" spans="1:13" ht="15.6" x14ac:dyDescent="0.3">
      <c r="A18" s="34" t="s">
        <v>11</v>
      </c>
      <c r="B18" s="34"/>
      <c r="C18" s="34"/>
      <c r="D18" s="34"/>
      <c r="E18" s="38">
        <v>54.500999999999998</v>
      </c>
      <c r="F18" s="38">
        <v>-46.63</v>
      </c>
      <c r="G18" s="38">
        <v>6.9610000000000003</v>
      </c>
    </row>
    <row r="19" spans="1:13" ht="15.6" x14ac:dyDescent="0.3">
      <c r="A19" s="3" t="s">
        <v>12</v>
      </c>
      <c r="B19" s="3"/>
      <c r="C19" s="3"/>
      <c r="D19" s="3"/>
      <c r="E19" s="4">
        <f>E14-E15+E16+E17+E18</f>
        <v>261.34699999999981</v>
      </c>
      <c r="F19" s="4">
        <f>F14-F15+F16+F17+F18</f>
        <v>313.13799999999981</v>
      </c>
      <c r="G19" s="4">
        <f>G14-G15+G16+G17+G18</f>
        <v>546.50099999999986</v>
      </c>
    </row>
    <row r="20" spans="1:13" ht="15.6" x14ac:dyDescent="0.3">
      <c r="A20" s="34" t="s">
        <v>13</v>
      </c>
      <c r="B20" s="34"/>
      <c r="C20" s="34"/>
      <c r="D20" s="34"/>
      <c r="E20" s="38">
        <v>95.855999999999995</v>
      </c>
      <c r="F20" s="38">
        <v>120.604</v>
      </c>
      <c r="G20" s="38">
        <v>216.71100000000001</v>
      </c>
    </row>
    <row r="21" spans="1:13" ht="15.6" x14ac:dyDescent="0.3">
      <c r="A21" s="3" t="s">
        <v>14</v>
      </c>
      <c r="B21" s="3"/>
      <c r="C21" s="3"/>
      <c r="D21" s="3"/>
      <c r="E21" s="4">
        <f>E19-E20</f>
        <v>165.49099999999981</v>
      </c>
      <c r="F21" s="4">
        <f>F19-F20</f>
        <v>192.53399999999982</v>
      </c>
      <c r="G21" s="4">
        <f>G19-G20</f>
        <v>329.78999999999985</v>
      </c>
    </row>
    <row r="22" spans="1:13" ht="15.6" x14ac:dyDescent="0.3">
      <c r="A22" s="34" t="s">
        <v>15</v>
      </c>
      <c r="B22" s="34"/>
      <c r="C22" s="34"/>
      <c r="D22" s="34"/>
      <c r="E22" s="38">
        <v>0</v>
      </c>
      <c r="F22" s="38">
        <v>0</v>
      </c>
      <c r="G22" s="38">
        <v>0</v>
      </c>
    </row>
    <row r="23" spans="1:13" ht="15.6" x14ac:dyDescent="0.3">
      <c r="A23" s="3" t="s">
        <v>16</v>
      </c>
      <c r="B23" s="3"/>
      <c r="C23" s="3"/>
      <c r="D23" s="3"/>
      <c r="E23" s="4">
        <f>E21-E22</f>
        <v>165.49099999999981</v>
      </c>
      <c r="F23" s="4">
        <f>F21-F22</f>
        <v>192.53399999999982</v>
      </c>
      <c r="G23" s="4">
        <f>G21-G22</f>
        <v>329.78999999999985</v>
      </c>
    </row>
    <row r="24" spans="1:13" ht="15.6" x14ac:dyDescent="0.3">
      <c r="A24" s="1" t="s">
        <v>30</v>
      </c>
      <c r="B24" s="1"/>
      <c r="C24" s="1"/>
      <c r="D24" s="1"/>
      <c r="E24" s="37">
        <v>100</v>
      </c>
      <c r="F24" s="37">
        <v>100</v>
      </c>
      <c r="G24" s="37">
        <v>100</v>
      </c>
    </row>
    <row r="25" spans="1:13" ht="15.6" x14ac:dyDescent="0.3">
      <c r="A25" s="1" t="s">
        <v>31</v>
      </c>
      <c r="B25" s="1"/>
      <c r="C25" s="1"/>
      <c r="D25" s="1"/>
      <c r="E25" s="4">
        <f>E23/E24</f>
        <v>1.6549099999999981</v>
      </c>
      <c r="F25" s="4">
        <f>F23/F24</f>
        <v>1.9253399999999983</v>
      </c>
      <c r="G25" s="4">
        <f>G23/G24</f>
        <v>3.2978999999999985</v>
      </c>
    </row>
    <row r="26" spans="1:13" ht="15.6" x14ac:dyDescent="0.3">
      <c r="A26" s="39"/>
      <c r="B26" s="39"/>
      <c r="C26" s="39"/>
      <c r="D26" s="39"/>
      <c r="E26" s="39"/>
      <c r="F26" s="39"/>
      <c r="G26" s="39"/>
    </row>
    <row r="30" spans="1:13" ht="15.6" x14ac:dyDescent="0.3">
      <c r="A30" s="174" t="s">
        <v>29</v>
      </c>
      <c r="B30" s="174"/>
      <c r="C30" s="174"/>
      <c r="D30" s="174"/>
      <c r="E30" s="174"/>
      <c r="F30" s="174"/>
      <c r="G30" s="174"/>
    </row>
    <row r="31" spans="1:13" ht="15.6" x14ac:dyDescent="0.3">
      <c r="A31" s="12"/>
      <c r="B31" s="12"/>
      <c r="C31" s="12"/>
      <c r="D31" s="12"/>
      <c r="E31" s="12"/>
      <c r="F31" s="12"/>
      <c r="G31" s="13" t="s">
        <v>17</v>
      </c>
    </row>
    <row r="32" spans="1:13" ht="15.6" x14ac:dyDescent="0.3">
      <c r="A32" s="5" t="s">
        <v>34</v>
      </c>
      <c r="B32" s="6"/>
      <c r="C32" s="6"/>
      <c r="D32" s="11"/>
      <c r="E32" s="14">
        <v>2005</v>
      </c>
      <c r="F32" s="15">
        <v>2006</v>
      </c>
      <c r="G32" s="16">
        <v>2007</v>
      </c>
      <c r="L32" s="17"/>
      <c r="M32" s="17"/>
    </row>
    <row r="33" spans="1:13" ht="15.6" x14ac:dyDescent="0.3">
      <c r="A33" s="6" t="s">
        <v>19</v>
      </c>
      <c r="B33" s="6"/>
      <c r="C33" s="6"/>
      <c r="D33" s="6"/>
      <c r="E33" s="17">
        <v>29.003</v>
      </c>
      <c r="F33" s="17">
        <v>281.95099999999996</v>
      </c>
      <c r="G33" s="25">
        <v>220.88499999999999</v>
      </c>
      <c r="L33" s="158"/>
      <c r="M33" s="158"/>
    </row>
    <row r="34" spans="1:13" ht="15.6" x14ac:dyDescent="0.3">
      <c r="A34" s="6" t="s">
        <v>0</v>
      </c>
      <c r="B34" s="6"/>
      <c r="C34" s="6"/>
      <c r="D34" s="6"/>
      <c r="E34" s="17">
        <v>362.35899999999998</v>
      </c>
      <c r="F34" s="17">
        <v>407.43799999999999</v>
      </c>
      <c r="G34" s="25">
        <v>435.49700000000001</v>
      </c>
      <c r="L34" s="37"/>
      <c r="M34" s="37"/>
    </row>
    <row r="35" spans="1:13" ht="15.6" x14ac:dyDescent="0.3">
      <c r="A35" s="6" t="s">
        <v>20</v>
      </c>
      <c r="B35" s="6"/>
      <c r="C35" s="6"/>
      <c r="D35" s="6"/>
      <c r="E35" s="17">
        <v>92.748000000000005</v>
      </c>
      <c r="F35" s="17">
        <v>117.18899999999999</v>
      </c>
      <c r="G35" s="25">
        <v>100.99</v>
      </c>
      <c r="L35" s="158"/>
      <c r="M35" s="158"/>
    </row>
    <row r="36" spans="1:13" ht="15.6" x14ac:dyDescent="0.3">
      <c r="A36" s="6" t="s">
        <v>21</v>
      </c>
      <c r="B36" s="6"/>
      <c r="C36" s="6"/>
      <c r="D36" s="6"/>
      <c r="E36" s="17">
        <v>55.775000000000006</v>
      </c>
      <c r="F36" s="17">
        <v>48.339999999999996</v>
      </c>
      <c r="G36" s="25">
        <v>76.381</v>
      </c>
    </row>
    <row r="37" spans="1:13" ht="15.6" x14ac:dyDescent="0.3">
      <c r="A37" s="7" t="s">
        <v>35</v>
      </c>
      <c r="B37" s="7"/>
      <c r="C37" s="7"/>
      <c r="D37" s="7"/>
      <c r="E37" s="18">
        <f>SUM(E33:E36)</f>
        <v>539.88499999999999</v>
      </c>
      <c r="F37" s="18">
        <f>SUM(F33:F36)</f>
        <v>854.91799999999989</v>
      </c>
      <c r="G37" s="26">
        <f>SUM(G33:G36)</f>
        <v>833.75300000000004</v>
      </c>
    </row>
    <row r="38" spans="1:13" ht="15.6" x14ac:dyDescent="0.3">
      <c r="A38" s="6" t="s">
        <v>22</v>
      </c>
      <c r="B38" s="6"/>
      <c r="C38" s="6"/>
      <c r="D38" s="6"/>
      <c r="E38" s="17">
        <v>2553.029</v>
      </c>
      <c r="F38" s="17">
        <v>2628.848</v>
      </c>
      <c r="G38" s="25">
        <v>2595.096</v>
      </c>
    </row>
    <row r="39" spans="1:13" ht="15.6" x14ac:dyDescent="0.3">
      <c r="A39" s="6" t="s">
        <v>42</v>
      </c>
      <c r="B39" s="6"/>
      <c r="C39" s="6"/>
      <c r="D39" s="6"/>
      <c r="E39" s="17">
        <v>1409.9119999999998</v>
      </c>
      <c r="F39" s="17">
        <v>1520.5229999999999</v>
      </c>
      <c r="G39" s="25">
        <v>1497.8209999999999</v>
      </c>
    </row>
    <row r="40" spans="1:13" ht="15.6" x14ac:dyDescent="0.3">
      <c r="A40" s="6" t="s">
        <v>104</v>
      </c>
      <c r="B40" s="6"/>
      <c r="C40" s="6"/>
      <c r="D40" s="6"/>
      <c r="E40" s="17">
        <v>172.09299999999999</v>
      </c>
      <c r="F40" s="17">
        <v>150.32499999999999</v>
      </c>
      <c r="G40" s="25">
        <v>157.69300000000001</v>
      </c>
    </row>
    <row r="41" spans="1:13" ht="15.6" x14ac:dyDescent="0.3">
      <c r="A41" s="6" t="s">
        <v>23</v>
      </c>
      <c r="B41" s="6"/>
      <c r="C41" s="6"/>
      <c r="D41" s="6"/>
      <c r="E41" s="17">
        <v>481.23500000000001</v>
      </c>
      <c r="F41" s="17">
        <v>485.452</v>
      </c>
      <c r="G41" s="25">
        <v>491.31599999999997</v>
      </c>
    </row>
    <row r="42" spans="1:13" ht="15.6" x14ac:dyDescent="0.3">
      <c r="A42" s="6" t="s">
        <v>114</v>
      </c>
      <c r="B42" s="6"/>
      <c r="C42" s="6"/>
      <c r="D42" s="6"/>
      <c r="E42" s="37">
        <v>260.07900000000001</v>
      </c>
      <c r="F42" s="37">
        <v>40.549999999999997</v>
      </c>
      <c r="G42" s="43">
        <v>36.195</v>
      </c>
    </row>
    <row r="43" spans="1:13" ht="16.2" thickBot="1" x14ac:dyDescent="0.35">
      <c r="A43" s="8" t="s">
        <v>24</v>
      </c>
      <c r="B43" s="8"/>
      <c r="C43" s="8"/>
      <c r="D43" s="8"/>
      <c r="E43" s="19">
        <f>SUM(E37:E42)</f>
        <v>5416.2329999999984</v>
      </c>
      <c r="F43" s="19">
        <f>SUM(F37:F42)</f>
        <v>5680.616</v>
      </c>
      <c r="G43" s="27">
        <f>SUM(G37:G42)</f>
        <v>5611.8739999999998</v>
      </c>
    </row>
    <row r="44" spans="1:13" ht="16.2" thickTop="1" x14ac:dyDescent="0.3">
      <c r="A44" s="9"/>
      <c r="B44" s="9"/>
      <c r="C44" s="9"/>
      <c r="D44" s="9"/>
      <c r="E44" s="20"/>
      <c r="F44" s="20"/>
      <c r="G44" s="28"/>
    </row>
    <row r="45" spans="1:13" ht="15.6" x14ac:dyDescent="0.3">
      <c r="A45" s="5" t="s">
        <v>36</v>
      </c>
      <c r="B45" s="5"/>
      <c r="C45" s="5"/>
      <c r="D45" s="5"/>
      <c r="E45" s="21"/>
      <c r="F45" s="21"/>
      <c r="G45" s="29"/>
    </row>
    <row r="46" spans="1:13" ht="15.6" x14ac:dyDescent="0.3">
      <c r="A46" s="6" t="s">
        <v>1</v>
      </c>
      <c r="B46" s="6"/>
      <c r="C46" s="6"/>
      <c r="D46" s="6"/>
      <c r="E46" s="17">
        <v>254.11600000000001</v>
      </c>
      <c r="F46" s="17">
        <v>254.87100000000001</v>
      </c>
      <c r="G46" s="25">
        <v>260.791</v>
      </c>
    </row>
    <row r="47" spans="1:13" ht="15.6" x14ac:dyDescent="0.3">
      <c r="A47" s="6" t="s">
        <v>25</v>
      </c>
      <c r="B47" s="6"/>
      <c r="C47" s="6"/>
      <c r="D47" s="6"/>
      <c r="E47" s="17">
        <v>135</v>
      </c>
      <c r="F47" s="17">
        <v>35</v>
      </c>
      <c r="G47" s="25">
        <v>0</v>
      </c>
    </row>
    <row r="48" spans="1:13" ht="15.6" x14ac:dyDescent="0.3">
      <c r="A48" s="6" t="s">
        <v>26</v>
      </c>
      <c r="B48" s="6"/>
      <c r="C48" s="6"/>
      <c r="D48" s="6"/>
      <c r="E48" s="17">
        <v>273.60499999999996</v>
      </c>
      <c r="F48" s="17">
        <v>566.83899999999994</v>
      </c>
      <c r="G48" s="25">
        <v>343.452</v>
      </c>
    </row>
    <row r="49" spans="1:7" ht="15.6" x14ac:dyDescent="0.3">
      <c r="A49" s="7" t="s">
        <v>37</v>
      </c>
      <c r="B49" s="7"/>
      <c r="C49" s="7"/>
      <c r="D49" s="7"/>
      <c r="E49" s="18">
        <f>SUM(E46:E48)</f>
        <v>662.721</v>
      </c>
      <c r="F49" s="18">
        <f>SUM(F46:F48)</f>
        <v>856.70999999999992</v>
      </c>
      <c r="G49" s="26">
        <f>SUM(G46:G48)</f>
        <v>604.24299999999994</v>
      </c>
    </row>
    <row r="50" spans="1:7" ht="15.6" x14ac:dyDescent="0.3">
      <c r="A50" s="6" t="s">
        <v>27</v>
      </c>
      <c r="B50" s="6"/>
      <c r="C50" s="6"/>
      <c r="D50" s="6"/>
      <c r="E50" s="17">
        <v>1001.385</v>
      </c>
      <c r="F50" s="17">
        <v>1001.8390000000001</v>
      </c>
      <c r="G50" s="25">
        <v>1002.293</v>
      </c>
    </row>
    <row r="51" spans="1:7" ht="15.6" x14ac:dyDescent="0.3">
      <c r="A51" s="6" t="s">
        <v>115</v>
      </c>
      <c r="B51" s="6"/>
      <c r="C51" s="6"/>
      <c r="D51" s="6"/>
      <c r="E51" s="17">
        <v>969.21800000000007</v>
      </c>
      <c r="F51" s="17">
        <v>792.08799999999997</v>
      </c>
      <c r="G51" s="25">
        <v>765.78600000000006</v>
      </c>
    </row>
    <row r="52" spans="1:7" ht="15.6" x14ac:dyDescent="0.3">
      <c r="A52" s="7" t="s">
        <v>38</v>
      </c>
      <c r="B52" s="7"/>
      <c r="C52" s="7"/>
      <c r="D52" s="7"/>
      <c r="E52" s="18">
        <f>SUM(E49:E51)</f>
        <v>2633.3240000000001</v>
      </c>
      <c r="F52" s="18">
        <f>SUM(F49:F51)</f>
        <v>2650.6369999999997</v>
      </c>
      <c r="G52" s="26">
        <f>SUM(G49:G51)</f>
        <v>2372.3220000000001</v>
      </c>
    </row>
    <row r="53" spans="1:7" ht="15.6" x14ac:dyDescent="0.3">
      <c r="A53" s="9"/>
      <c r="B53" s="9"/>
      <c r="C53" s="9"/>
      <c r="D53" s="9"/>
      <c r="E53" s="22"/>
      <c r="F53" s="22"/>
      <c r="G53" s="30"/>
    </row>
    <row r="54" spans="1:7" ht="15.6" x14ac:dyDescent="0.3">
      <c r="A54" s="5" t="s">
        <v>39</v>
      </c>
      <c r="B54" s="5"/>
      <c r="C54" s="5"/>
      <c r="D54" s="5"/>
      <c r="E54" s="23"/>
      <c r="F54" s="23"/>
      <c r="G54" s="31"/>
    </row>
    <row r="55" spans="1:7" ht="15.6" x14ac:dyDescent="0.3">
      <c r="A55" s="6" t="s">
        <v>40</v>
      </c>
      <c r="B55" s="6"/>
      <c r="C55" s="6"/>
      <c r="D55" s="6"/>
      <c r="E55" s="17">
        <v>1416.8869999999999</v>
      </c>
      <c r="F55" s="17">
        <v>1415.5809999999999</v>
      </c>
      <c r="G55" s="25">
        <v>1447.4899999999998</v>
      </c>
    </row>
    <row r="56" spans="1:7" ht="15.6" x14ac:dyDescent="0.3">
      <c r="A56" s="6" t="s">
        <v>28</v>
      </c>
      <c r="B56" s="6"/>
      <c r="C56" s="6"/>
      <c r="D56" s="6"/>
      <c r="E56" s="17">
        <v>1366.0220000000002</v>
      </c>
      <c r="F56" s="17">
        <v>1614.3980000000001</v>
      </c>
      <c r="G56" s="25">
        <v>1792.0619999999999</v>
      </c>
    </row>
    <row r="57" spans="1:7" ht="15.6" x14ac:dyDescent="0.3">
      <c r="A57" s="6" t="s">
        <v>43</v>
      </c>
      <c r="B57" s="6"/>
      <c r="C57" s="6"/>
      <c r="D57" s="6"/>
      <c r="E57" s="17">
        <v>0</v>
      </c>
      <c r="F57" s="17">
        <v>0</v>
      </c>
      <c r="G57" s="25">
        <v>0</v>
      </c>
    </row>
    <row r="58" spans="1:7" ht="15.6" x14ac:dyDescent="0.3">
      <c r="A58" s="10" t="s">
        <v>39</v>
      </c>
      <c r="B58" s="10"/>
      <c r="C58" s="10"/>
      <c r="D58" s="10"/>
      <c r="E58" s="24">
        <f>SUM(E55:E57)</f>
        <v>2782.9090000000001</v>
      </c>
      <c r="F58" s="24">
        <f>SUM(F55:F57)</f>
        <v>3029.9790000000003</v>
      </c>
      <c r="G58" s="32">
        <f>SUM(G55:G57)</f>
        <v>3239.5519999999997</v>
      </c>
    </row>
    <row r="59" spans="1:7" ht="16.2" thickBot="1" x14ac:dyDescent="0.35">
      <c r="A59" s="8" t="s">
        <v>41</v>
      </c>
      <c r="B59" s="8"/>
      <c r="C59" s="8"/>
      <c r="D59" s="8"/>
      <c r="E59" s="19">
        <f>E52+E58</f>
        <v>5416.2330000000002</v>
      </c>
      <c r="F59" s="19">
        <f>F52+F58</f>
        <v>5680.616</v>
      </c>
      <c r="G59" s="27">
        <f>G52+G58</f>
        <v>5611.8739999999998</v>
      </c>
    </row>
    <row r="60" spans="1:7" ht="15" thickTop="1" x14ac:dyDescent="0.3"/>
    <row r="62" spans="1:7" x14ac:dyDescent="0.3">
      <c r="A62" t="s">
        <v>44</v>
      </c>
      <c r="E62" s="40">
        <f>E43-E59</f>
        <v>0</v>
      </c>
      <c r="F62" s="40">
        <f>F43-F59</f>
        <v>0</v>
      </c>
      <c r="G62" s="40">
        <f>G43-G59</f>
        <v>0</v>
      </c>
    </row>
  </sheetData>
  <mergeCells count="4">
    <mergeCell ref="A3:G3"/>
    <mergeCell ref="A5:G5"/>
    <mergeCell ref="A30:G30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B2B0-456C-4BE3-A420-077864878778}">
  <dimension ref="A1:H17"/>
  <sheetViews>
    <sheetView workbookViewId="0">
      <selection activeCell="E24" sqref="E24"/>
    </sheetView>
  </sheetViews>
  <sheetFormatPr defaultRowHeight="14.4" x14ac:dyDescent="0.3"/>
  <cols>
    <col min="1" max="1" width="27.109375" bestFit="1" customWidth="1"/>
    <col min="3" max="8" width="13.5546875" customWidth="1"/>
  </cols>
  <sheetData>
    <row r="1" spans="1:8" ht="15.6" x14ac:dyDescent="0.3">
      <c r="A1" s="175" t="s">
        <v>32</v>
      </c>
      <c r="B1" s="175"/>
      <c r="C1" s="175"/>
      <c r="D1" s="175"/>
      <c r="E1" s="175"/>
      <c r="F1" s="175"/>
      <c r="G1" s="175"/>
      <c r="H1" s="175"/>
    </row>
    <row r="2" spans="1:8" ht="15" thickBot="1" x14ac:dyDescent="0.35"/>
    <row r="3" spans="1:8" ht="15.6" x14ac:dyDescent="0.3">
      <c r="A3" s="176" t="s">
        <v>89</v>
      </c>
      <c r="B3" s="177"/>
      <c r="C3" s="178"/>
    </row>
    <row r="4" spans="1:8" ht="18" x14ac:dyDescent="0.4">
      <c r="A4" s="147" t="s">
        <v>110</v>
      </c>
      <c r="B4" s="148"/>
      <c r="C4" s="149">
        <v>0.3</v>
      </c>
    </row>
    <row r="5" spans="1:8" ht="18" x14ac:dyDescent="0.4">
      <c r="A5" s="117" t="s">
        <v>93</v>
      </c>
      <c r="B5" s="1"/>
      <c r="C5" s="116">
        <f>1-C4</f>
        <v>0.7</v>
      </c>
    </row>
    <row r="6" spans="1:8" ht="15.6" x14ac:dyDescent="0.3">
      <c r="A6" s="64" t="s">
        <v>92</v>
      </c>
      <c r="B6" s="1"/>
      <c r="C6" s="116">
        <f>C4/C5</f>
        <v>0.4285714285714286</v>
      </c>
    </row>
    <row r="7" spans="1:8" ht="15.6" x14ac:dyDescent="0.3">
      <c r="A7" s="61" t="s">
        <v>90</v>
      </c>
      <c r="B7" s="1"/>
      <c r="C7" s="150">
        <v>1.025255923631861</v>
      </c>
    </row>
    <row r="8" spans="1:8" ht="15.6" x14ac:dyDescent="0.3">
      <c r="A8" s="61" t="s">
        <v>91</v>
      </c>
      <c r="B8" s="1"/>
      <c r="C8" s="92">
        <f>C17+C7*C16</f>
        <v>9.3762796181593056E-2</v>
      </c>
    </row>
    <row r="9" spans="1:8" ht="15.6" x14ac:dyDescent="0.3">
      <c r="A9" s="64" t="s">
        <v>88</v>
      </c>
      <c r="B9" s="34"/>
      <c r="C9" s="157">
        <v>5.5E-2</v>
      </c>
    </row>
    <row r="10" spans="1:8" ht="16.2" thickBot="1" x14ac:dyDescent="0.35">
      <c r="A10" s="87" t="s">
        <v>89</v>
      </c>
      <c r="B10" s="88"/>
      <c r="C10" s="118">
        <f>C4*C9*(1-C15)+C5*C8</f>
        <v>7.5533957327115139E-2</v>
      </c>
    </row>
    <row r="11" spans="1:8" ht="15.6" x14ac:dyDescent="0.3">
      <c r="D11" s="119"/>
      <c r="E11" s="119"/>
      <c r="F11" s="119"/>
      <c r="G11" s="119"/>
      <c r="H11" s="119"/>
    </row>
    <row r="14" spans="1:8" ht="15.6" x14ac:dyDescent="0.3">
      <c r="A14" s="2" t="s">
        <v>94</v>
      </c>
      <c r="B14" s="34"/>
      <c r="C14" s="34"/>
    </row>
    <row r="15" spans="1:8" ht="15.6" x14ac:dyDescent="0.3">
      <c r="A15" s="34" t="s">
        <v>85</v>
      </c>
      <c r="B15" s="34"/>
      <c r="C15" s="54">
        <v>0.4</v>
      </c>
    </row>
    <row r="16" spans="1:8" ht="15.6" x14ac:dyDescent="0.3">
      <c r="A16" s="34" t="s">
        <v>86</v>
      </c>
      <c r="B16" s="34"/>
      <c r="C16" s="53">
        <v>0.05</v>
      </c>
    </row>
    <row r="17" spans="1:3" ht="15.6" x14ac:dyDescent="0.3">
      <c r="A17" s="34" t="s">
        <v>87</v>
      </c>
      <c r="B17" s="34"/>
      <c r="C17" s="53">
        <v>4.2500000000000003E-2</v>
      </c>
    </row>
  </sheetData>
  <mergeCells count="2">
    <mergeCell ref="A3:C3"/>
    <mergeCell ref="A1:H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7287-C0F2-4D53-8D0F-AF5E00BE7CFB}">
  <dimension ref="A1:Q74"/>
  <sheetViews>
    <sheetView topLeftCell="A30" workbookViewId="0">
      <selection activeCell="A60" sqref="A60"/>
    </sheetView>
  </sheetViews>
  <sheetFormatPr defaultColWidth="8.88671875" defaultRowHeight="18" x14ac:dyDescent="0.35"/>
  <cols>
    <col min="1" max="1" width="46.6640625" style="45" bestFit="1" customWidth="1"/>
    <col min="2" max="2" width="9.21875" style="45" customWidth="1"/>
    <col min="3" max="3" width="8.88671875" style="45"/>
    <col min="4" max="4" width="10.109375" style="45" bestFit="1" customWidth="1"/>
    <col min="5" max="5" width="13.21875" style="45" bestFit="1" customWidth="1"/>
    <col min="6" max="9" width="11.6640625" style="45" bestFit="1" customWidth="1"/>
    <col min="10" max="10" width="13.77734375" style="45" customWidth="1"/>
    <col min="11" max="11" width="13.77734375" style="45" bestFit="1" customWidth="1"/>
    <col min="12" max="15" width="11.5546875" style="45" bestFit="1" customWidth="1"/>
    <col min="16" max="16" width="8.88671875" style="45"/>
    <col min="17" max="17" width="9" style="45" bestFit="1" customWidth="1"/>
    <col min="18" max="16384" width="8.88671875" style="45"/>
  </cols>
  <sheetData>
    <row r="1" spans="1:17" x14ac:dyDescent="0.3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47"/>
      <c r="K1" s="47"/>
      <c r="L1" s="47"/>
      <c r="M1" s="47"/>
      <c r="N1" s="47"/>
      <c r="O1" s="47"/>
      <c r="P1" s="47"/>
      <c r="Q1" s="48">
        <f>$C$16</f>
        <v>0</v>
      </c>
    </row>
    <row r="2" spans="1:17" x14ac:dyDescent="0.35">
      <c r="A2" s="33"/>
      <c r="B2" s="52"/>
      <c r="C2" s="33"/>
      <c r="D2" s="33"/>
      <c r="E2" s="33"/>
      <c r="F2" s="33"/>
      <c r="G2" s="33"/>
      <c r="H2" s="33"/>
      <c r="I2" s="33"/>
      <c r="J2" s="46"/>
      <c r="K2" s="46"/>
      <c r="L2" s="46"/>
      <c r="M2" s="46"/>
      <c r="N2" s="46"/>
      <c r="O2" s="46"/>
      <c r="P2" s="46"/>
      <c r="Q2" s="49"/>
    </row>
    <row r="3" spans="1:17" x14ac:dyDescent="0.35">
      <c r="A3" s="172" t="s">
        <v>81</v>
      </c>
      <c r="B3" s="172"/>
      <c r="C3" s="172"/>
      <c r="D3" s="172"/>
      <c r="E3" s="172"/>
      <c r="F3" s="172"/>
      <c r="G3" s="172"/>
      <c r="H3" s="172"/>
      <c r="I3" s="172"/>
      <c r="J3" s="50"/>
      <c r="K3" s="50"/>
      <c r="L3" s="50"/>
      <c r="M3" s="50"/>
      <c r="N3" s="50"/>
      <c r="O3" s="50"/>
      <c r="P3" s="50"/>
      <c r="Q3" s="51"/>
    </row>
    <row r="4" spans="1:17" ht="18.600000000000001" thickBot="1" x14ac:dyDescent="0.4">
      <c r="A4" s="12"/>
      <c r="B4" s="12"/>
      <c r="C4" s="12"/>
      <c r="D4" s="12"/>
      <c r="E4" s="12"/>
      <c r="F4" s="12"/>
      <c r="G4" s="12"/>
      <c r="H4" s="12"/>
      <c r="I4" s="12"/>
      <c r="J4" s="50"/>
      <c r="K4" s="50"/>
      <c r="L4" s="50"/>
      <c r="M4" s="50"/>
      <c r="N4" s="50"/>
      <c r="O4" s="50"/>
      <c r="P4" s="50"/>
      <c r="Q4" s="51"/>
    </row>
    <row r="5" spans="1:17" x14ac:dyDescent="0.35">
      <c r="A5" s="187" t="s">
        <v>74</v>
      </c>
      <c r="B5" s="188"/>
      <c r="C5" s="188"/>
      <c r="D5" s="188"/>
      <c r="E5" s="188"/>
      <c r="F5" s="188"/>
      <c r="G5" s="188"/>
      <c r="H5" s="188"/>
      <c r="I5" s="189"/>
      <c r="J5" s="50"/>
      <c r="K5" s="50"/>
      <c r="L5" s="50"/>
      <c r="M5" s="50"/>
      <c r="N5" s="50"/>
      <c r="O5" s="50"/>
      <c r="P5" s="50"/>
      <c r="Q5" s="51"/>
    </row>
    <row r="6" spans="1:17" x14ac:dyDescent="0.35">
      <c r="A6" s="104"/>
      <c r="B6" s="12"/>
      <c r="C6" s="12"/>
      <c r="E6" s="14">
        <v>2008</v>
      </c>
      <c r="F6" s="15">
        <f>E6+1</f>
        <v>2009</v>
      </c>
      <c r="G6" s="15">
        <f>F6+1</f>
        <v>2010</v>
      </c>
      <c r="H6" s="15">
        <f>G6+1</f>
        <v>2011</v>
      </c>
      <c r="I6" s="60">
        <f>H6+1</f>
        <v>2012</v>
      </c>
      <c r="J6" s="50"/>
      <c r="K6" s="50"/>
      <c r="L6" s="50"/>
      <c r="M6" s="50"/>
      <c r="N6" s="50"/>
      <c r="O6" s="50"/>
      <c r="P6" s="50"/>
      <c r="Q6" s="51"/>
    </row>
    <row r="7" spans="1:17" x14ac:dyDescent="0.35">
      <c r="A7" s="61" t="s">
        <v>76</v>
      </c>
      <c r="B7" s="12"/>
      <c r="C7" s="12"/>
      <c r="D7" s="12"/>
      <c r="E7" s="105">
        <f>E27</f>
        <v>243.54664909284898</v>
      </c>
      <c r="F7" s="105">
        <f>F27</f>
        <v>277.64317996584884</v>
      </c>
      <c r="G7" s="105">
        <f>G27</f>
        <v>334.55928711552588</v>
      </c>
      <c r="H7" s="105">
        <f>H27</f>
        <v>387.09886839648135</v>
      </c>
      <c r="I7" s="106">
        <f>I27</f>
        <v>434.61529743349581</v>
      </c>
      <c r="J7" s="50"/>
      <c r="K7" s="50"/>
      <c r="L7" s="50"/>
      <c r="M7" s="50"/>
      <c r="N7" s="50"/>
      <c r="O7" s="50"/>
      <c r="P7" s="50"/>
      <c r="Q7" s="51"/>
    </row>
    <row r="8" spans="1:17" x14ac:dyDescent="0.35">
      <c r="A8" s="107" t="s">
        <v>82</v>
      </c>
      <c r="B8" s="12"/>
      <c r="C8" s="12"/>
      <c r="D8" s="12"/>
      <c r="E8" s="105">
        <f>E24</f>
        <v>705.22931974886603</v>
      </c>
      <c r="F8" s="105">
        <f>F24</f>
        <v>803.96142451370702</v>
      </c>
      <c r="G8" s="105">
        <f>G24</f>
        <v>867.43875315467596</v>
      </c>
      <c r="H8" s="105">
        <f>H24</f>
        <v>922.37654085447298</v>
      </c>
      <c r="I8" s="106">
        <f>I24</f>
        <v>952.91038496551801</v>
      </c>
      <c r="J8" s="50"/>
      <c r="K8" s="50"/>
      <c r="L8" s="50"/>
      <c r="M8" s="50"/>
      <c r="N8" s="50"/>
      <c r="O8" s="50"/>
      <c r="P8" s="50"/>
      <c r="Q8" s="51"/>
    </row>
    <row r="9" spans="1:17" x14ac:dyDescent="0.35">
      <c r="A9" s="61" t="s">
        <v>83</v>
      </c>
      <c r="B9" s="12"/>
      <c r="C9" s="12"/>
      <c r="D9" s="12"/>
      <c r="E9" s="105">
        <f>E56</f>
        <v>57.382180177056455</v>
      </c>
      <c r="F9" s="105">
        <f>F56</f>
        <v>55.003505224788</v>
      </c>
      <c r="G9" s="105">
        <f>G56</f>
        <v>55.985710675230621</v>
      </c>
      <c r="H9" s="105">
        <f>H56</f>
        <v>50.387139607707581</v>
      </c>
      <c r="I9" s="106">
        <f>I56</f>
        <v>38.798097497934691</v>
      </c>
      <c r="J9" s="50"/>
      <c r="K9" s="50"/>
      <c r="L9" s="50"/>
      <c r="M9" s="50"/>
      <c r="N9" s="50"/>
      <c r="O9" s="50"/>
      <c r="P9" s="50"/>
      <c r="Q9" s="51"/>
    </row>
    <row r="10" spans="1:17" x14ac:dyDescent="0.35">
      <c r="A10" s="82" t="s">
        <v>84</v>
      </c>
      <c r="B10" s="112"/>
      <c r="C10" s="112"/>
      <c r="D10" s="112"/>
      <c r="E10" s="113">
        <f>E71</f>
        <v>631.27446623342269</v>
      </c>
      <c r="F10" s="113">
        <f>F71</f>
        <v>719.65289150610204</v>
      </c>
      <c r="G10" s="113">
        <f>G71</f>
        <v>867.43875315467631</v>
      </c>
      <c r="H10" s="113">
        <f>H71</f>
        <v>970.08567227797982</v>
      </c>
      <c r="I10" s="114">
        <f>I71</f>
        <v>1055.0079262118229</v>
      </c>
      <c r="J10" s="50"/>
      <c r="K10" s="50"/>
      <c r="L10" s="50"/>
      <c r="M10" s="50"/>
      <c r="N10" s="50"/>
      <c r="O10" s="50"/>
      <c r="P10" s="50"/>
      <c r="Q10" s="51"/>
    </row>
    <row r="11" spans="1:17" ht="18.600000000000001" thickBot="1" x14ac:dyDescent="0.4">
      <c r="A11" s="108" t="s">
        <v>74</v>
      </c>
      <c r="B11" s="109"/>
      <c r="C11" s="109"/>
      <c r="D11" s="109"/>
      <c r="E11" s="110">
        <f>E7+E8-E9-E10</f>
        <v>260.1193224312359</v>
      </c>
      <c r="F11" s="110">
        <f>F7+F8-F9-F10</f>
        <v>306.9482077486656</v>
      </c>
      <c r="G11" s="110">
        <f>G7+G8-G9-G10</f>
        <v>278.5735764402948</v>
      </c>
      <c r="H11" s="110">
        <f>H7+H8-H9-H10</f>
        <v>289.00259736526698</v>
      </c>
      <c r="I11" s="111">
        <f>I7+I8-I9-I10</f>
        <v>293.71965868925645</v>
      </c>
      <c r="J11" s="50"/>
      <c r="K11" s="50"/>
      <c r="L11" s="50"/>
      <c r="M11" s="50"/>
      <c r="N11" s="50"/>
      <c r="O11" s="50"/>
      <c r="P11" s="50"/>
      <c r="Q11" s="51"/>
    </row>
    <row r="12" spans="1:17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50"/>
      <c r="K12" s="50"/>
      <c r="L12" s="50"/>
      <c r="M12" s="50"/>
      <c r="N12" s="50"/>
      <c r="O12" s="50"/>
      <c r="P12" s="50"/>
      <c r="Q12" s="51"/>
    </row>
    <row r="13" spans="1:17" ht="18.600000000000001" thickBot="1" x14ac:dyDescent="0.4">
      <c r="A13" s="12"/>
      <c r="B13" s="12"/>
      <c r="C13" s="12"/>
      <c r="D13" s="12"/>
      <c r="E13" s="12"/>
      <c r="F13" s="12"/>
      <c r="G13" s="12"/>
      <c r="H13" s="12"/>
      <c r="I13" s="12"/>
      <c r="J13" s="50"/>
      <c r="K13" s="50"/>
      <c r="L13" s="50"/>
      <c r="M13" s="50"/>
      <c r="N13" s="50"/>
      <c r="O13" s="50"/>
      <c r="P13" s="50"/>
      <c r="Q13" s="51"/>
    </row>
    <row r="14" spans="1:17" x14ac:dyDescent="0.35">
      <c r="A14" s="190" t="s">
        <v>77</v>
      </c>
      <c r="B14" s="191"/>
      <c r="C14" s="191"/>
      <c r="D14" s="191"/>
      <c r="E14" s="191"/>
      <c r="F14" s="191"/>
      <c r="G14" s="191"/>
      <c r="H14" s="191"/>
      <c r="I14" s="192"/>
      <c r="J14" s="46"/>
      <c r="K14" s="46"/>
      <c r="L14" s="46"/>
      <c r="M14" s="46"/>
      <c r="N14" s="46"/>
      <c r="O14" s="46"/>
      <c r="P14" s="46"/>
      <c r="Q14" s="46"/>
    </row>
    <row r="15" spans="1:17" x14ac:dyDescent="0.35">
      <c r="A15" s="59"/>
      <c r="B15" s="3"/>
      <c r="C15" s="3"/>
      <c r="D15" s="3" t="s">
        <v>50</v>
      </c>
      <c r="E15" s="179" t="s">
        <v>60</v>
      </c>
      <c r="F15" s="179"/>
      <c r="G15" s="179"/>
      <c r="H15" s="179"/>
      <c r="I15" s="180"/>
      <c r="J15" s="46"/>
      <c r="K15" s="46"/>
      <c r="L15" s="46"/>
      <c r="M15" s="46"/>
      <c r="N15" s="46"/>
      <c r="O15" s="46"/>
      <c r="P15" s="46"/>
    </row>
    <row r="16" spans="1:17" x14ac:dyDescent="0.35">
      <c r="A16" s="59"/>
      <c r="B16" s="46"/>
      <c r="C16" s="46"/>
      <c r="D16" s="42">
        <v>2007</v>
      </c>
      <c r="E16" s="14">
        <v>2008</v>
      </c>
      <c r="F16" s="15">
        <f>E16+1</f>
        <v>2009</v>
      </c>
      <c r="G16" s="15">
        <f>F16+1</f>
        <v>2010</v>
      </c>
      <c r="H16" s="15">
        <f>G16+1</f>
        <v>2011</v>
      </c>
      <c r="I16" s="60">
        <f>H16+1</f>
        <v>2012</v>
      </c>
      <c r="J16" s="46"/>
      <c r="K16" s="46"/>
      <c r="L16" s="46"/>
      <c r="M16" s="46"/>
      <c r="N16" s="46"/>
      <c r="O16" s="46"/>
      <c r="P16" s="46"/>
    </row>
    <row r="17" spans="1:17" x14ac:dyDescent="0.35">
      <c r="A17" s="61" t="s">
        <v>51</v>
      </c>
      <c r="B17" s="46"/>
      <c r="C17" s="46"/>
      <c r="D17" s="162">
        <v>3679.2370000000001</v>
      </c>
      <c r="E17" s="163">
        <f>D17*(1+E31)</f>
        <v>4194.3301800000008</v>
      </c>
      <c r="F17" s="163">
        <f>E17*(1+F31)</f>
        <v>4781.5364052000014</v>
      </c>
      <c r="G17" s="163">
        <f>F17*(1+G31)</f>
        <v>5379.2284558500014</v>
      </c>
      <c r="H17" s="163">
        <f>G17*(1+H31)</f>
        <v>5917.1513014350021</v>
      </c>
      <c r="I17" s="152">
        <f>H17*(1+I31)</f>
        <v>6331.3518925354529</v>
      </c>
      <c r="J17" s="46"/>
      <c r="K17" s="46"/>
      <c r="L17" s="46"/>
      <c r="M17" s="46"/>
      <c r="N17" s="46"/>
      <c r="O17" s="46"/>
      <c r="P17" s="46"/>
    </row>
    <row r="18" spans="1:17" x14ac:dyDescent="0.35">
      <c r="A18" s="61" t="s">
        <v>53</v>
      </c>
      <c r="B18" s="46"/>
      <c r="C18" s="46"/>
      <c r="D18" s="164">
        <v>267.02699999999999</v>
      </c>
      <c r="E18" s="165">
        <f>E32*E17</f>
        <v>314.77315023873263</v>
      </c>
      <c r="F18" s="165">
        <f>F32*F17</f>
        <v>358.84139127215519</v>
      </c>
      <c r="G18" s="165">
        <f>G32*G17</f>
        <v>403.69656518117461</v>
      </c>
      <c r="H18" s="165">
        <f>H32*H17</f>
        <v>444.0662216992921</v>
      </c>
      <c r="I18" s="153">
        <f>I32*I17</f>
        <v>475.15085721824261</v>
      </c>
      <c r="J18" s="46"/>
      <c r="K18" s="46"/>
      <c r="L18" s="46"/>
      <c r="M18" s="46"/>
      <c r="N18" s="46"/>
      <c r="O18" s="46"/>
      <c r="P18" s="46"/>
    </row>
    <row r="19" spans="1:17" x14ac:dyDescent="0.35">
      <c r="A19" s="62" t="s">
        <v>3</v>
      </c>
      <c r="B19" s="46"/>
      <c r="C19" s="46"/>
      <c r="D19" s="166">
        <f t="shared" ref="D19:I19" si="0">SUM(D17:D18)</f>
        <v>3946.2640000000001</v>
      </c>
      <c r="E19" s="167">
        <f t="shared" si="0"/>
        <v>4509.1033302387332</v>
      </c>
      <c r="F19" s="167">
        <f t="shared" si="0"/>
        <v>5140.3777964721567</v>
      </c>
      <c r="G19" s="167">
        <f t="shared" si="0"/>
        <v>5782.9250210311757</v>
      </c>
      <c r="H19" s="167">
        <f t="shared" si="0"/>
        <v>6361.2175231342944</v>
      </c>
      <c r="I19" s="154">
        <f t="shared" si="0"/>
        <v>6806.5027497536958</v>
      </c>
      <c r="J19" s="46"/>
      <c r="K19" s="46"/>
      <c r="L19" s="46"/>
      <c r="M19" s="46"/>
      <c r="N19" s="46"/>
      <c r="O19" s="46"/>
      <c r="P19" s="46"/>
    </row>
    <row r="20" spans="1:17" x14ac:dyDescent="0.35">
      <c r="A20" s="64" t="s">
        <v>4</v>
      </c>
      <c r="B20" s="46"/>
      <c r="C20" s="46"/>
      <c r="D20" s="168"/>
      <c r="E20" s="163">
        <f t="shared" ref="E20:I22" si="1">E33*E17</f>
        <v>838.86603600000024</v>
      </c>
      <c r="F20" s="163">
        <f t="shared" si="1"/>
        <v>956.30728104000036</v>
      </c>
      <c r="G20" s="163">
        <f t="shared" si="1"/>
        <v>1075.8456911700002</v>
      </c>
      <c r="H20" s="163">
        <f t="shared" si="1"/>
        <v>1183.4302602870005</v>
      </c>
      <c r="I20" s="152">
        <f t="shared" si="1"/>
        <v>1266.2703785070908</v>
      </c>
      <c r="J20" s="46"/>
      <c r="K20" s="46"/>
      <c r="L20" s="46"/>
      <c r="M20" s="46"/>
      <c r="N20" s="46"/>
      <c r="O20" s="46"/>
      <c r="P20" s="46"/>
    </row>
    <row r="21" spans="1:17" x14ac:dyDescent="0.35">
      <c r="A21" s="64" t="s">
        <v>45</v>
      </c>
      <c r="B21" s="46"/>
      <c r="C21" s="46"/>
      <c r="D21" s="168"/>
      <c r="E21" s="163">
        <f t="shared" si="1"/>
        <v>755.45556057295823</v>
      </c>
      <c r="F21" s="163">
        <f t="shared" si="1"/>
        <v>861.21933905317246</v>
      </c>
      <c r="G21" s="163">
        <f t="shared" si="1"/>
        <v>968.87175643481896</v>
      </c>
      <c r="H21" s="163">
        <f t="shared" si="1"/>
        <v>1065.7589320783011</v>
      </c>
      <c r="I21" s="152">
        <f t="shared" si="1"/>
        <v>1140.3620573237822</v>
      </c>
      <c r="J21" s="46"/>
      <c r="K21" s="46"/>
      <c r="L21" s="46"/>
      <c r="M21" s="46"/>
      <c r="N21" s="46"/>
      <c r="O21" s="46"/>
      <c r="P21" s="46"/>
    </row>
    <row r="22" spans="1:17" x14ac:dyDescent="0.35">
      <c r="A22" s="64" t="s">
        <v>5</v>
      </c>
      <c r="B22" s="50"/>
      <c r="C22" s="50"/>
      <c r="D22" s="169"/>
      <c r="E22" s="165">
        <f t="shared" si="1"/>
        <v>1803.6413320954935</v>
      </c>
      <c r="F22" s="165">
        <f t="shared" si="1"/>
        <v>2056.1511185888626</v>
      </c>
      <c r="G22" s="165">
        <f t="shared" si="1"/>
        <v>2313.1700084124705</v>
      </c>
      <c r="H22" s="165">
        <f t="shared" si="1"/>
        <v>2544.487009253718</v>
      </c>
      <c r="I22" s="153">
        <f t="shared" si="1"/>
        <v>2722.6010999014784</v>
      </c>
      <c r="J22" s="46"/>
      <c r="K22" s="46"/>
      <c r="L22" s="46"/>
      <c r="M22" s="46"/>
      <c r="N22" s="46"/>
      <c r="O22" s="46"/>
      <c r="P22" s="46"/>
    </row>
    <row r="23" spans="1:17" x14ac:dyDescent="0.35">
      <c r="A23" s="62" t="s">
        <v>6</v>
      </c>
      <c r="B23" s="46"/>
      <c r="C23" s="46"/>
      <c r="D23" s="166"/>
      <c r="E23" s="167">
        <f>E19-E20-E21-E22</f>
        <v>1111.140401570281</v>
      </c>
      <c r="F23" s="167">
        <f>F19-F20-F21-F22</f>
        <v>1266.7000577901217</v>
      </c>
      <c r="G23" s="167">
        <f>G19-G20-G21-G22</f>
        <v>1425.0375650138858</v>
      </c>
      <c r="H23" s="167">
        <f>H19-H20-H21-H22</f>
        <v>1567.5413215152753</v>
      </c>
      <c r="I23" s="154">
        <f>I19-I20-I21-I22</f>
        <v>1677.2692140213444</v>
      </c>
      <c r="J23" s="46"/>
      <c r="K23" s="46"/>
      <c r="L23" s="46"/>
      <c r="M23" s="46"/>
      <c r="N23" s="46"/>
      <c r="O23" s="46"/>
      <c r="P23" s="46"/>
    </row>
    <row r="24" spans="1:17" x14ac:dyDescent="0.35">
      <c r="A24" s="64" t="s">
        <v>7</v>
      </c>
      <c r="B24" s="46"/>
      <c r="C24" s="46"/>
      <c r="D24" s="169"/>
      <c r="E24" s="170">
        <f>E36</f>
        <v>705.22931974886603</v>
      </c>
      <c r="F24" s="170">
        <f t="shared" ref="F24:I24" si="2">F36</f>
        <v>803.96142451370702</v>
      </c>
      <c r="G24" s="170">
        <f t="shared" si="2"/>
        <v>867.43875315467596</v>
      </c>
      <c r="H24" s="170">
        <f t="shared" si="2"/>
        <v>922.37654085447298</v>
      </c>
      <c r="I24" s="151">
        <f t="shared" si="2"/>
        <v>952.91038496551801</v>
      </c>
      <c r="J24" s="46"/>
      <c r="K24" s="46"/>
      <c r="L24" s="46"/>
      <c r="M24" s="46"/>
      <c r="N24" s="46"/>
      <c r="O24" s="46"/>
      <c r="P24" s="46"/>
      <c r="Q24" s="46"/>
    </row>
    <row r="25" spans="1:17" x14ac:dyDescent="0.35">
      <c r="A25" s="62" t="s">
        <v>8</v>
      </c>
      <c r="B25" s="50"/>
      <c r="C25" s="50"/>
      <c r="D25" s="166"/>
      <c r="E25" s="171">
        <f>E23-E24</f>
        <v>405.911081821415</v>
      </c>
      <c r="F25" s="171">
        <f>F23-F24</f>
        <v>462.7386332764147</v>
      </c>
      <c r="G25" s="171">
        <f>G23-G24</f>
        <v>557.59881185920983</v>
      </c>
      <c r="H25" s="171">
        <f>H23-H24</f>
        <v>645.16478066080231</v>
      </c>
      <c r="I25" s="63">
        <f>I23-I24</f>
        <v>724.35882905582639</v>
      </c>
      <c r="J25" s="46"/>
      <c r="K25" s="46"/>
      <c r="L25" s="46"/>
      <c r="M25" s="46"/>
      <c r="N25" s="46"/>
      <c r="O25" s="46"/>
      <c r="P25" s="46"/>
      <c r="Q25" s="46"/>
    </row>
    <row r="26" spans="1:17" s="1" customFormat="1" ht="15.6" x14ac:dyDescent="0.3">
      <c r="A26" s="61" t="s">
        <v>75</v>
      </c>
      <c r="E26" s="65">
        <f>E25*E37</f>
        <v>162.36443272856602</v>
      </c>
      <c r="F26" s="65">
        <f>F25*F37</f>
        <v>185.09545331056589</v>
      </c>
      <c r="G26" s="65">
        <f>G25*G37</f>
        <v>223.03952474368396</v>
      </c>
      <c r="H26" s="65">
        <f>H25*H37</f>
        <v>258.06591226432096</v>
      </c>
      <c r="I26" s="66">
        <f>I25*I37</f>
        <v>289.74353162233058</v>
      </c>
      <c r="J26" s="34"/>
      <c r="K26" s="34"/>
      <c r="L26" s="34"/>
      <c r="M26" s="34"/>
      <c r="N26" s="34"/>
      <c r="O26" s="34"/>
      <c r="P26" s="34"/>
      <c r="Q26" s="34"/>
    </row>
    <row r="27" spans="1:17" s="1" customFormat="1" ht="15.6" x14ac:dyDescent="0.3">
      <c r="A27" s="67" t="s">
        <v>76</v>
      </c>
      <c r="E27" s="68">
        <f>E25-E26</f>
        <v>243.54664909284898</v>
      </c>
      <c r="F27" s="68">
        <f>F25-F26</f>
        <v>277.64317996584884</v>
      </c>
      <c r="G27" s="68">
        <f>G25-G26</f>
        <v>334.55928711552588</v>
      </c>
      <c r="H27" s="68">
        <f>H25-H26</f>
        <v>387.09886839648135</v>
      </c>
      <c r="I27" s="69">
        <f>I25-I26</f>
        <v>434.61529743349581</v>
      </c>
      <c r="J27" s="34"/>
      <c r="K27" s="34"/>
      <c r="L27" s="34"/>
      <c r="M27" s="34"/>
      <c r="N27" s="34"/>
      <c r="O27" s="34"/>
      <c r="P27" s="34"/>
      <c r="Q27" s="34"/>
    </row>
    <row r="28" spans="1:17" s="1" customFormat="1" ht="15.6" x14ac:dyDescent="0.3">
      <c r="A28" s="61"/>
      <c r="I28" s="70"/>
      <c r="J28" s="34"/>
      <c r="K28" s="34"/>
      <c r="L28" s="34"/>
      <c r="M28" s="34"/>
      <c r="N28" s="34"/>
      <c r="O28" s="34"/>
      <c r="P28" s="34"/>
      <c r="Q28" s="34"/>
    </row>
    <row r="29" spans="1:17" s="1" customFormat="1" ht="15.6" x14ac:dyDescent="0.3">
      <c r="A29" s="61"/>
      <c r="I29" s="70"/>
      <c r="J29" s="34"/>
      <c r="K29" s="34"/>
      <c r="L29" s="34"/>
      <c r="M29" s="34"/>
      <c r="N29" s="34"/>
      <c r="O29" s="34"/>
      <c r="P29" s="34"/>
      <c r="Q29" s="34"/>
    </row>
    <row r="30" spans="1:17" s="1" customFormat="1" x14ac:dyDescent="0.35">
      <c r="A30" s="71" t="s">
        <v>62</v>
      </c>
      <c r="B30" s="45"/>
      <c r="C30" s="45"/>
      <c r="D30" s="45"/>
      <c r="E30" s="45"/>
      <c r="F30" s="45"/>
      <c r="G30" s="45"/>
      <c r="H30" s="45"/>
      <c r="I30" s="72"/>
      <c r="J30" s="34"/>
      <c r="K30" s="34"/>
      <c r="L30" s="34"/>
      <c r="M30" s="34"/>
      <c r="N30" s="34"/>
      <c r="O30" s="34"/>
      <c r="P30" s="34"/>
      <c r="Q30" s="34"/>
    </row>
    <row r="31" spans="1:17" s="1" customFormat="1" x14ac:dyDescent="0.35">
      <c r="A31" s="64" t="s">
        <v>52</v>
      </c>
      <c r="B31" s="45"/>
      <c r="C31" s="45"/>
      <c r="D31" s="45"/>
      <c r="E31" s="73">
        <v>0.14000000000000001</v>
      </c>
      <c r="F31" s="73">
        <v>0.14000000000000001</v>
      </c>
      <c r="G31" s="73">
        <v>0.125</v>
      </c>
      <c r="H31" s="73">
        <v>0.1</v>
      </c>
      <c r="I31" s="74">
        <v>7.0000000000000007E-2</v>
      </c>
      <c r="J31" s="34"/>
      <c r="K31" s="34"/>
      <c r="L31" s="34"/>
      <c r="M31" s="34"/>
      <c r="N31" s="34"/>
      <c r="O31" s="34"/>
      <c r="P31" s="34"/>
      <c r="Q31" s="34"/>
    </row>
    <row r="32" spans="1:17" s="1" customFormat="1" x14ac:dyDescent="0.35">
      <c r="A32" s="64" t="s">
        <v>63</v>
      </c>
      <c r="B32" s="45"/>
      <c r="C32" s="45"/>
      <c r="D32" s="45"/>
      <c r="E32" s="75">
        <v>7.5047298789131703E-2</v>
      </c>
      <c r="F32" s="75">
        <v>7.5047298789131703E-2</v>
      </c>
      <c r="G32" s="75">
        <v>7.5047298789131703E-2</v>
      </c>
      <c r="H32" s="75">
        <v>7.5047298789131703E-2</v>
      </c>
      <c r="I32" s="76">
        <v>7.5047298789131703E-2</v>
      </c>
      <c r="J32" s="34"/>
      <c r="K32" s="34"/>
      <c r="L32" s="34"/>
      <c r="M32" s="34"/>
      <c r="N32" s="34"/>
      <c r="O32" s="34"/>
      <c r="P32" s="34"/>
      <c r="Q32" s="34"/>
    </row>
    <row r="33" spans="1:17" s="1" customFormat="1" x14ac:dyDescent="0.35">
      <c r="A33" s="64" t="s">
        <v>54</v>
      </c>
      <c r="B33" s="45"/>
      <c r="C33" s="45"/>
      <c r="D33" s="45"/>
      <c r="E33" s="73">
        <v>0.2</v>
      </c>
      <c r="F33" s="73">
        <v>0.2</v>
      </c>
      <c r="G33" s="73">
        <v>0.2</v>
      </c>
      <c r="H33" s="73">
        <v>0.2</v>
      </c>
      <c r="I33" s="74">
        <v>0.2</v>
      </c>
      <c r="J33" s="34"/>
      <c r="K33" s="34"/>
      <c r="L33" s="34"/>
      <c r="M33" s="34"/>
      <c r="N33" s="34"/>
      <c r="O33" s="34"/>
      <c r="P33" s="34"/>
      <c r="Q33" s="34"/>
    </row>
    <row r="34" spans="1:17" s="1" customFormat="1" x14ac:dyDescent="0.35">
      <c r="A34" s="64" t="s">
        <v>64</v>
      </c>
      <c r="B34" s="45"/>
      <c r="C34" s="45"/>
      <c r="D34" s="45"/>
      <c r="E34" s="73">
        <v>2.4</v>
      </c>
      <c r="F34" s="73">
        <v>2.4</v>
      </c>
      <c r="G34" s="73">
        <v>2.4</v>
      </c>
      <c r="H34" s="73">
        <v>2.4</v>
      </c>
      <c r="I34" s="74">
        <v>2.4</v>
      </c>
      <c r="J34" s="34"/>
      <c r="K34" s="34"/>
      <c r="L34" s="34"/>
      <c r="M34" s="34"/>
      <c r="N34" s="34"/>
      <c r="O34" s="34"/>
      <c r="P34" s="34"/>
      <c r="Q34" s="34"/>
    </row>
    <row r="35" spans="1:17" s="1" customFormat="1" x14ac:dyDescent="0.35">
      <c r="A35" s="64" t="s">
        <v>55</v>
      </c>
      <c r="B35" s="45"/>
      <c r="C35" s="45"/>
      <c r="D35" s="45"/>
      <c r="E35" s="73">
        <v>0.4</v>
      </c>
      <c r="F35" s="73">
        <v>0.4</v>
      </c>
      <c r="G35" s="73">
        <v>0.4</v>
      </c>
      <c r="H35" s="73">
        <v>0.4</v>
      </c>
      <c r="I35" s="74">
        <v>0.4</v>
      </c>
      <c r="J35" s="34"/>
      <c r="K35" s="34"/>
      <c r="L35" s="34"/>
      <c r="M35" s="34"/>
      <c r="N35" s="34"/>
      <c r="O35" s="34"/>
      <c r="P35" s="34"/>
      <c r="Q35" s="34"/>
    </row>
    <row r="36" spans="1:17" s="1" customFormat="1" x14ac:dyDescent="0.35">
      <c r="A36" s="64" t="s">
        <v>7</v>
      </c>
      <c r="B36" s="46"/>
      <c r="C36" s="46"/>
      <c r="D36" s="169"/>
      <c r="E36" s="170">
        <v>705.22931974886603</v>
      </c>
      <c r="F36" s="170">
        <v>803.96142451370702</v>
      </c>
      <c r="G36" s="170">
        <v>867.43875315467596</v>
      </c>
      <c r="H36" s="170">
        <v>922.37654085447298</v>
      </c>
      <c r="I36" s="151">
        <v>952.91038496551801</v>
      </c>
      <c r="J36" s="34"/>
      <c r="K36" s="34"/>
      <c r="L36" s="34"/>
      <c r="M36" s="34"/>
      <c r="N36" s="34"/>
      <c r="O36" s="34"/>
      <c r="P36" s="34"/>
      <c r="Q36" s="34"/>
    </row>
    <row r="37" spans="1:17" s="1" customFormat="1" ht="18.600000000000001" thickBot="1" x14ac:dyDescent="0.4">
      <c r="A37" s="77" t="s">
        <v>56</v>
      </c>
      <c r="B37" s="78"/>
      <c r="C37" s="78"/>
      <c r="D37" s="78"/>
      <c r="E37" s="79">
        <v>0.4</v>
      </c>
      <c r="F37" s="79">
        <v>0.4</v>
      </c>
      <c r="G37" s="79">
        <v>0.4</v>
      </c>
      <c r="H37" s="79">
        <v>0.4</v>
      </c>
      <c r="I37" s="80">
        <v>0.4</v>
      </c>
      <c r="J37" s="34"/>
      <c r="K37" s="34"/>
      <c r="L37" s="34"/>
      <c r="M37" s="34"/>
      <c r="N37" s="34"/>
      <c r="O37" s="34"/>
      <c r="P37" s="34"/>
      <c r="Q37" s="34"/>
    </row>
    <row r="38" spans="1:17" s="1" customFormat="1" x14ac:dyDescent="0.35">
      <c r="A38" s="34"/>
      <c r="B38" s="45"/>
      <c r="C38" s="45"/>
      <c r="D38" s="45"/>
      <c r="E38" s="54"/>
      <c r="F38" s="54"/>
      <c r="G38" s="54"/>
      <c r="H38" s="54"/>
      <c r="I38" s="54"/>
      <c r="J38" s="34"/>
      <c r="K38" s="34"/>
      <c r="L38" s="34"/>
      <c r="M38" s="34"/>
      <c r="N38" s="34"/>
      <c r="O38" s="34"/>
      <c r="P38" s="34"/>
      <c r="Q38" s="34"/>
    </row>
    <row r="39" spans="1:17" s="1" customFormat="1" ht="18" customHeight="1" thickBot="1" x14ac:dyDescent="0.4">
      <c r="A39" s="34"/>
      <c r="B39" s="45"/>
      <c r="C39" s="45"/>
      <c r="D39" s="45"/>
      <c r="E39" s="54"/>
      <c r="F39" s="54"/>
      <c r="G39" s="54"/>
      <c r="H39" s="54"/>
      <c r="I39" s="54"/>
      <c r="J39" s="34"/>
      <c r="K39" s="34"/>
      <c r="L39" s="34"/>
      <c r="M39" s="34"/>
      <c r="N39" s="34"/>
      <c r="O39" s="34"/>
      <c r="P39" s="34"/>
      <c r="Q39" s="34"/>
    </row>
    <row r="40" spans="1:17" s="1" customFormat="1" ht="17.399999999999999" x14ac:dyDescent="0.3">
      <c r="A40" s="181" t="s">
        <v>78</v>
      </c>
      <c r="B40" s="182"/>
      <c r="C40" s="182"/>
      <c r="D40" s="182"/>
      <c r="E40" s="182"/>
      <c r="F40" s="182"/>
      <c r="G40" s="182"/>
      <c r="H40" s="182"/>
      <c r="I40" s="183"/>
      <c r="J40" s="34"/>
      <c r="K40" s="34"/>
      <c r="L40" s="34"/>
      <c r="M40" s="34"/>
      <c r="N40" s="34"/>
      <c r="O40" s="34"/>
      <c r="P40" s="34"/>
      <c r="Q40" s="34"/>
    </row>
    <row r="41" spans="1:17" s="1" customFormat="1" x14ac:dyDescent="0.35">
      <c r="A41" s="59"/>
      <c r="B41" s="3"/>
      <c r="C41" s="3"/>
      <c r="D41" s="3" t="s">
        <v>50</v>
      </c>
      <c r="E41" s="179" t="s">
        <v>60</v>
      </c>
      <c r="F41" s="179"/>
      <c r="G41" s="179"/>
      <c r="H41" s="179"/>
      <c r="I41" s="180"/>
      <c r="J41" s="34"/>
      <c r="K41" s="34"/>
      <c r="L41" s="34"/>
      <c r="M41" s="34"/>
      <c r="N41" s="34"/>
      <c r="O41" s="34"/>
      <c r="P41" s="34"/>
      <c r="Q41" s="34"/>
    </row>
    <row r="42" spans="1:17" s="1" customFormat="1" x14ac:dyDescent="0.35">
      <c r="A42" s="59"/>
      <c r="B42" s="46"/>
      <c r="C42" s="46"/>
      <c r="D42" s="42">
        <v>2007</v>
      </c>
      <c r="E42" s="14">
        <v>2008</v>
      </c>
      <c r="F42" s="15">
        <f>E42+1</f>
        <v>2009</v>
      </c>
      <c r="G42" s="15">
        <f>F42+1</f>
        <v>2010</v>
      </c>
      <c r="H42" s="15">
        <f>G42+1</f>
        <v>2011</v>
      </c>
      <c r="I42" s="60">
        <f>H42+1</f>
        <v>2012</v>
      </c>
      <c r="J42" s="34"/>
    </row>
    <row r="43" spans="1:17" s="1" customFormat="1" ht="15.6" x14ac:dyDescent="0.3">
      <c r="A43" s="67" t="s">
        <v>35</v>
      </c>
      <c r="I43" s="70"/>
      <c r="J43" s="34"/>
    </row>
    <row r="44" spans="1:17" s="1" customFormat="1" ht="15.6" x14ac:dyDescent="0.3">
      <c r="A44" s="193" t="s">
        <v>19</v>
      </c>
      <c r="D44" s="160">
        <f t="shared" ref="D44:I44" si="3">D59*D19</f>
        <v>220.88499999999999</v>
      </c>
      <c r="E44" s="160">
        <f t="shared" si="3"/>
        <v>252.38891495849808</v>
      </c>
      <c r="F44" s="160">
        <f t="shared" si="3"/>
        <v>287.72336305268783</v>
      </c>
      <c r="G44" s="160">
        <f t="shared" si="3"/>
        <v>323.68878343427383</v>
      </c>
      <c r="H44" s="160">
        <f t="shared" si="3"/>
        <v>356.05766177770124</v>
      </c>
      <c r="I44" s="81">
        <f t="shared" si="3"/>
        <v>380.9816981021404</v>
      </c>
      <c r="J44" s="34"/>
      <c r="K44" s="34"/>
      <c r="L44" s="34"/>
      <c r="M44" s="34"/>
      <c r="N44" s="34"/>
      <c r="O44" s="34"/>
      <c r="P44" s="34"/>
      <c r="Q44" s="34"/>
    </row>
    <row r="45" spans="1:17" s="1" customFormat="1" ht="15.6" x14ac:dyDescent="0.3">
      <c r="A45" s="61" t="s">
        <v>65</v>
      </c>
      <c r="D45" s="160">
        <v>435.49700000000001</v>
      </c>
      <c r="E45" s="160">
        <f>E60*E19</f>
        <v>521.89512627751901</v>
      </c>
      <c r="F45" s="160">
        <f>F60*F19</f>
        <v>594.96044395637182</v>
      </c>
      <c r="G45" s="160">
        <f>G60*G19</f>
        <v>669.33049945091818</v>
      </c>
      <c r="H45" s="160">
        <f>H60*H19</f>
        <v>736.26354939601015</v>
      </c>
      <c r="I45" s="81">
        <f>I60*I19</f>
        <v>787.80199785373088</v>
      </c>
      <c r="J45" s="34"/>
      <c r="K45" s="34"/>
      <c r="L45" s="34"/>
      <c r="M45" s="34"/>
      <c r="N45" s="34"/>
      <c r="O45" s="34"/>
      <c r="P45" s="34"/>
      <c r="Q45" s="34"/>
    </row>
    <row r="46" spans="1:17" s="1" customFormat="1" ht="15.6" x14ac:dyDescent="0.3">
      <c r="A46" s="61" t="s">
        <v>20</v>
      </c>
      <c r="D46" s="1">
        <v>100.99</v>
      </c>
      <c r="E46" s="160">
        <f>E61*E18</f>
        <v>134.96791749303367</v>
      </c>
      <c r="F46" s="160">
        <f>F61*F18</f>
        <v>153.86342594205837</v>
      </c>
      <c r="G46" s="160">
        <f>G61*G18</f>
        <v>173.09635418481568</v>
      </c>
      <c r="H46" s="160">
        <f>H61*H18</f>
        <v>190.40598960329726</v>
      </c>
      <c r="I46" s="81">
        <f>I61*I18</f>
        <v>203.73440887552809</v>
      </c>
      <c r="J46" s="34"/>
      <c r="K46" s="58"/>
      <c r="L46" s="58"/>
      <c r="M46" s="58"/>
      <c r="N46" s="58"/>
      <c r="O46" s="58"/>
    </row>
    <row r="47" spans="1:17" s="1" customFormat="1" ht="15.6" x14ac:dyDescent="0.3">
      <c r="A47" s="82" t="s">
        <v>46</v>
      </c>
      <c r="B47" s="161"/>
      <c r="C47" s="161"/>
      <c r="D47" s="65">
        <v>41.588000000000001</v>
      </c>
      <c r="E47" s="65">
        <f>E62*SUM(E20:E22)</f>
        <v>46.91482790871445</v>
      </c>
      <c r="F47" s="65">
        <f>F62*SUM(F20:F22)</f>
        <v>53.482903815934471</v>
      </c>
      <c r="G47" s="65">
        <f>G62*SUM(G20:G22)</f>
        <v>60.168266792926282</v>
      </c>
      <c r="H47" s="65">
        <f>H62*SUM(H20:H22)</f>
        <v>66.185093472218909</v>
      </c>
      <c r="I47" s="66">
        <f>I62*SUM(I20:I22)</f>
        <v>70.818050015274252</v>
      </c>
      <c r="J47" s="34"/>
      <c r="K47" s="58"/>
      <c r="L47" s="58"/>
      <c r="M47" s="58"/>
      <c r="N47" s="58"/>
      <c r="O47" s="58"/>
    </row>
    <row r="48" spans="1:17" s="1" customFormat="1" ht="15.6" x14ac:dyDescent="0.3">
      <c r="A48" s="67" t="s">
        <v>47</v>
      </c>
      <c r="D48" s="68">
        <f t="shared" ref="D48:I48" si="4">SUM(D44:D47)</f>
        <v>798.96</v>
      </c>
      <c r="E48" s="68">
        <f t="shared" si="4"/>
        <v>956.1667866377652</v>
      </c>
      <c r="F48" s="68">
        <f t="shared" si="4"/>
        <v>1090.0301367670525</v>
      </c>
      <c r="G48" s="68">
        <f t="shared" si="4"/>
        <v>1226.283903862934</v>
      </c>
      <c r="H48" s="68">
        <f t="shared" si="4"/>
        <v>1348.9122942492277</v>
      </c>
      <c r="I48" s="69">
        <f t="shared" si="4"/>
        <v>1443.3361548466737</v>
      </c>
      <c r="J48" s="34"/>
      <c r="K48" s="58"/>
      <c r="L48" s="58"/>
      <c r="M48" s="58"/>
      <c r="N48" s="58"/>
      <c r="O48" s="58"/>
    </row>
    <row r="49" spans="1:17" x14ac:dyDescent="0.35">
      <c r="A49" s="61"/>
      <c r="B49" s="1"/>
      <c r="C49" s="1"/>
      <c r="D49" s="1"/>
      <c r="E49" s="1"/>
      <c r="F49" s="1"/>
      <c r="G49" s="1"/>
      <c r="H49" s="1"/>
      <c r="I49" s="70"/>
      <c r="J49" s="46"/>
      <c r="K49" s="58"/>
      <c r="L49" s="58"/>
      <c r="M49" s="58"/>
      <c r="N49" s="58"/>
      <c r="O49" s="58"/>
    </row>
    <row r="50" spans="1:17" x14ac:dyDescent="0.35">
      <c r="A50" s="67" t="s">
        <v>37</v>
      </c>
      <c r="B50" s="1"/>
      <c r="C50" s="1"/>
      <c r="D50" s="1"/>
      <c r="E50" s="1"/>
      <c r="F50" s="1"/>
      <c r="G50" s="1"/>
      <c r="H50" s="1"/>
      <c r="I50" s="70"/>
      <c r="J50" s="46"/>
      <c r="K50" s="58"/>
      <c r="L50" s="58"/>
      <c r="M50" s="58"/>
      <c r="N50" s="58"/>
      <c r="O50" s="58"/>
    </row>
    <row r="51" spans="1:17" x14ac:dyDescent="0.35">
      <c r="A51" s="64" t="s">
        <v>1</v>
      </c>
      <c r="B51" s="1"/>
      <c r="C51" s="1"/>
      <c r="D51" s="37">
        <v>260.791</v>
      </c>
      <c r="E51" s="160">
        <f>E63*SUM(E20:E22)</f>
        <v>335.42131922451637</v>
      </c>
      <c r="F51" s="160">
        <f>F63*SUM(F20:F22)</f>
        <v>382.38030391594862</v>
      </c>
      <c r="G51" s="160">
        <f>G63*SUM(G20:G22)</f>
        <v>430.17784190544222</v>
      </c>
      <c r="H51" s="160">
        <f>H63*SUM(H20:H22)</f>
        <v>473.19562609598648</v>
      </c>
      <c r="I51" s="81">
        <f>I63*SUM(I20:I22)</f>
        <v>506.31931992270563</v>
      </c>
      <c r="J51" s="46"/>
      <c r="K51" s="58"/>
      <c r="L51" s="58"/>
      <c r="M51" s="58"/>
      <c r="N51" s="58"/>
      <c r="O51" s="58"/>
    </row>
    <row r="52" spans="1:17" x14ac:dyDescent="0.35">
      <c r="A52" s="64" t="s">
        <v>57</v>
      </c>
      <c r="B52" s="1"/>
      <c r="C52" s="1"/>
      <c r="D52" s="37">
        <v>143.44499999999999</v>
      </c>
      <c r="E52" s="160">
        <f>E64*E17</f>
        <v>163.25424736171038</v>
      </c>
      <c r="F52" s="160">
        <f>F64*F17</f>
        <v>186.10984199234986</v>
      </c>
      <c r="G52" s="160">
        <f>G64*G17</f>
        <v>209.37357224139359</v>
      </c>
      <c r="H52" s="160">
        <f>H64*H17</f>
        <v>230.31092946553295</v>
      </c>
      <c r="I52" s="81">
        <f>I64*I17</f>
        <v>246.43269452812029</v>
      </c>
      <c r="J52" s="46"/>
      <c r="K52" s="58"/>
      <c r="L52" s="58"/>
      <c r="M52" s="58"/>
      <c r="N52" s="58"/>
      <c r="O52" s="58"/>
    </row>
    <row r="53" spans="1:17" x14ac:dyDescent="0.35">
      <c r="A53" s="83" t="s">
        <v>48</v>
      </c>
      <c r="B53" s="161"/>
      <c r="C53" s="161"/>
      <c r="D53" s="38">
        <v>59.223999999999997</v>
      </c>
      <c r="E53" s="65">
        <f>E65*SUM(E20:E22)</f>
        <v>64.609039874481979</v>
      </c>
      <c r="F53" s="65">
        <f>F65*SUM(F20:F22)</f>
        <v>73.654305456909455</v>
      </c>
      <c r="G53" s="65">
        <f>G65*SUM(G20:G22)</f>
        <v>82.861093639023139</v>
      </c>
      <c r="H53" s="65">
        <f>H65*SUM(H20:H22)</f>
        <v>91.147203002925465</v>
      </c>
      <c r="I53" s="66">
        <f>I65*SUM(I20:I22)</f>
        <v>97.527507213130264</v>
      </c>
      <c r="J53" s="46"/>
      <c r="K53" s="58"/>
      <c r="L53" s="58"/>
      <c r="M53" s="58"/>
      <c r="N53" s="58"/>
      <c r="O53" s="58"/>
    </row>
    <row r="54" spans="1:17" x14ac:dyDescent="0.35">
      <c r="A54" s="67" t="s">
        <v>49</v>
      </c>
      <c r="B54" s="57"/>
      <c r="C54" s="57"/>
      <c r="D54" s="4">
        <f t="shared" ref="D54:I54" si="5">SUM(D51:D53)</f>
        <v>463.46</v>
      </c>
      <c r="E54" s="4">
        <f t="shared" si="5"/>
        <v>563.28460646070869</v>
      </c>
      <c r="F54" s="4">
        <f t="shared" si="5"/>
        <v>642.14445136520794</v>
      </c>
      <c r="G54" s="4">
        <f t="shared" si="5"/>
        <v>722.41250778585891</v>
      </c>
      <c r="H54" s="4">
        <f t="shared" si="5"/>
        <v>794.65375856444496</v>
      </c>
      <c r="I54" s="84">
        <f t="shared" si="5"/>
        <v>850.2795216639563</v>
      </c>
      <c r="J54" s="46"/>
      <c r="K54" s="46"/>
      <c r="L54" s="46"/>
      <c r="M54" s="46"/>
      <c r="N54" s="46"/>
      <c r="O54" s="46"/>
      <c r="P54" s="46"/>
      <c r="Q54" s="46"/>
    </row>
    <row r="55" spans="1:17" x14ac:dyDescent="0.35">
      <c r="A55" s="61" t="s">
        <v>72</v>
      </c>
      <c r="B55" s="1"/>
      <c r="C55" s="1"/>
      <c r="D55" s="160">
        <f t="shared" ref="D55:I55" si="6">D48-D54</f>
        <v>335.50000000000006</v>
      </c>
      <c r="E55" s="160">
        <f t="shared" si="6"/>
        <v>392.88218017705651</v>
      </c>
      <c r="F55" s="160">
        <f t="shared" si="6"/>
        <v>447.88568540184451</v>
      </c>
      <c r="G55" s="160">
        <f t="shared" si="6"/>
        <v>503.87139607707513</v>
      </c>
      <c r="H55" s="160">
        <f t="shared" si="6"/>
        <v>554.25853568478271</v>
      </c>
      <c r="I55" s="81">
        <f t="shared" si="6"/>
        <v>593.05663318271741</v>
      </c>
      <c r="J55" s="46"/>
      <c r="K55" s="46"/>
      <c r="L55" s="46"/>
      <c r="M55" s="46"/>
      <c r="N55" s="46"/>
      <c r="O55" s="46"/>
      <c r="P55" s="46"/>
      <c r="Q55" s="46"/>
    </row>
    <row r="56" spans="1:17" x14ac:dyDescent="0.35">
      <c r="A56" s="61" t="s">
        <v>73</v>
      </c>
      <c r="B56" s="1"/>
      <c r="C56" s="1"/>
      <c r="D56" s="1"/>
      <c r="E56" s="160">
        <f>E55-D55</f>
        <v>57.382180177056455</v>
      </c>
      <c r="F56" s="160">
        <f>F55-E55</f>
        <v>55.003505224788</v>
      </c>
      <c r="G56" s="160">
        <f>G55-F55</f>
        <v>55.985710675230621</v>
      </c>
      <c r="H56" s="160">
        <f>H55-G55</f>
        <v>50.387139607707581</v>
      </c>
      <c r="I56" s="81">
        <f>I55-H55</f>
        <v>38.798097497934691</v>
      </c>
      <c r="J56" s="46"/>
      <c r="K56" s="46"/>
      <c r="L56" s="46"/>
      <c r="M56" s="46"/>
      <c r="N56" s="46"/>
      <c r="O56" s="46"/>
      <c r="P56" s="46"/>
      <c r="Q56" s="46"/>
    </row>
    <row r="57" spans="1:17" x14ac:dyDescent="0.35">
      <c r="A57" s="64"/>
      <c r="I57" s="72"/>
      <c r="J57" s="46"/>
      <c r="K57" s="46"/>
      <c r="L57" s="46"/>
      <c r="M57" s="46"/>
      <c r="N57" s="46"/>
      <c r="O57" s="46"/>
      <c r="P57" s="46"/>
      <c r="Q57" s="46"/>
    </row>
    <row r="58" spans="1:17" x14ac:dyDescent="0.35">
      <c r="A58" s="71" t="s">
        <v>61</v>
      </c>
      <c r="B58" s="34"/>
      <c r="C58" s="34"/>
      <c r="D58" s="34"/>
      <c r="E58" s="34"/>
      <c r="F58" s="34"/>
      <c r="G58" s="34"/>
      <c r="H58" s="34"/>
      <c r="I58" s="89"/>
      <c r="J58" s="46"/>
    </row>
    <row r="59" spans="1:17" x14ac:dyDescent="0.35">
      <c r="A59" s="64" t="s">
        <v>120</v>
      </c>
      <c r="B59" s="34"/>
      <c r="C59" s="34"/>
      <c r="D59" s="75">
        <f>'Target historical Info'!G33/'Target historical Info'!G8</f>
        <v>5.5973193886673565E-2</v>
      </c>
      <c r="E59" s="75">
        <f>$D$59</f>
        <v>5.5973193886673565E-2</v>
      </c>
      <c r="F59" s="75">
        <f t="shared" ref="F59:I59" si="7">$D$59</f>
        <v>5.5973193886673565E-2</v>
      </c>
      <c r="G59" s="75">
        <f t="shared" si="7"/>
        <v>5.5973193886673565E-2</v>
      </c>
      <c r="H59" s="75">
        <f t="shared" si="7"/>
        <v>5.5973193886673565E-2</v>
      </c>
      <c r="I59" s="76">
        <f t="shared" si="7"/>
        <v>5.5973193886673565E-2</v>
      </c>
      <c r="J59" s="46"/>
    </row>
    <row r="60" spans="1:17" x14ac:dyDescent="0.35">
      <c r="A60" s="64" t="s">
        <v>68</v>
      </c>
      <c r="B60" s="34"/>
      <c r="C60" s="34"/>
      <c r="D60" s="34"/>
      <c r="E60" s="75">
        <v>0.11574255191217528</v>
      </c>
      <c r="F60" s="75">
        <v>0.11574255191217528</v>
      </c>
      <c r="G60" s="75">
        <v>0.11574255191217528</v>
      </c>
      <c r="H60" s="75">
        <v>0.11574255191217528</v>
      </c>
      <c r="I60" s="76">
        <v>0.11574255191217528</v>
      </c>
      <c r="J60" s="46"/>
    </row>
    <row r="61" spans="1:17" x14ac:dyDescent="0.35">
      <c r="A61" s="64" t="s">
        <v>66</v>
      </c>
      <c r="B61" s="34"/>
      <c r="C61" s="34"/>
      <c r="D61" s="34"/>
      <c r="E61" s="75">
        <v>0.42877836750266113</v>
      </c>
      <c r="F61" s="75">
        <v>0.42877836750266113</v>
      </c>
      <c r="G61" s="75">
        <v>0.42877836750266113</v>
      </c>
      <c r="H61" s="75">
        <v>0.42877836750266113</v>
      </c>
      <c r="I61" s="76">
        <v>0.42877836750266113</v>
      </c>
      <c r="J61" s="46"/>
    </row>
    <row r="62" spans="1:17" x14ac:dyDescent="0.35">
      <c r="A62" s="64" t="s">
        <v>71</v>
      </c>
      <c r="B62" s="34"/>
      <c r="C62" s="34"/>
      <c r="D62" s="34"/>
      <c r="E62" s="75">
        <v>1.38067509544899E-2</v>
      </c>
      <c r="F62" s="75">
        <v>1.38067509544899E-2</v>
      </c>
      <c r="G62" s="75">
        <v>1.38067509544899E-2</v>
      </c>
      <c r="H62" s="75">
        <v>1.38067509544899E-2</v>
      </c>
      <c r="I62" s="76">
        <v>1.38067509544899E-2</v>
      </c>
    </row>
    <row r="63" spans="1:17" x14ac:dyDescent="0.35">
      <c r="A63" s="64" t="s">
        <v>67</v>
      </c>
      <c r="B63" s="34"/>
      <c r="C63" s="34"/>
      <c r="D63" s="34"/>
      <c r="E63" s="75">
        <v>9.8712471638399163E-2</v>
      </c>
      <c r="F63" s="75">
        <v>9.8712471638399163E-2</v>
      </c>
      <c r="G63" s="75">
        <v>9.8712471638399163E-2</v>
      </c>
      <c r="H63" s="75">
        <v>9.8712471638399163E-2</v>
      </c>
      <c r="I63" s="76">
        <v>9.8712471638399163E-2</v>
      </c>
    </row>
    <row r="64" spans="1:17" x14ac:dyDescent="0.35">
      <c r="A64" s="64" t="s">
        <v>70</v>
      </c>
      <c r="B64" s="34"/>
      <c r="C64" s="34"/>
      <c r="D64" s="34"/>
      <c r="E64" s="75">
        <v>3.8922602741234442E-2</v>
      </c>
      <c r="F64" s="75">
        <v>3.8922602741234442E-2</v>
      </c>
      <c r="G64" s="75">
        <v>3.8922602741234442E-2</v>
      </c>
      <c r="H64" s="75">
        <v>3.8922602741234442E-2</v>
      </c>
      <c r="I64" s="76">
        <v>3.8922602741234442E-2</v>
      </c>
    </row>
    <row r="65" spans="1:9" ht="18.600000000000001" thickBot="1" x14ac:dyDescent="0.4">
      <c r="A65" s="77" t="s">
        <v>69</v>
      </c>
      <c r="B65" s="93"/>
      <c r="C65" s="93"/>
      <c r="D65" s="93"/>
      <c r="E65" s="155">
        <v>1.9014050838924278E-2</v>
      </c>
      <c r="F65" s="155">
        <v>1.9014050838924278E-2</v>
      </c>
      <c r="G65" s="155">
        <v>1.9014050838924278E-2</v>
      </c>
      <c r="H65" s="155">
        <v>1.9014050838924278E-2</v>
      </c>
      <c r="I65" s="156">
        <v>1.9014050838924278E-2</v>
      </c>
    </row>
    <row r="66" spans="1:9" x14ac:dyDescent="0.35">
      <c r="A66" s="90"/>
      <c r="B66" s="34"/>
      <c r="C66" s="34"/>
      <c r="D66" s="34"/>
      <c r="E66" s="34"/>
      <c r="F66" s="34"/>
      <c r="G66" s="34"/>
      <c r="H66" s="34"/>
      <c r="I66" s="34"/>
    </row>
    <row r="67" spans="1:9" ht="18.600000000000001" thickBot="1" x14ac:dyDescent="0.4">
      <c r="A67" s="34"/>
      <c r="B67" s="34"/>
      <c r="C67" s="34"/>
      <c r="D67" s="34"/>
      <c r="E67" s="91"/>
      <c r="F67" s="91"/>
      <c r="G67" s="91"/>
      <c r="H67" s="91"/>
      <c r="I67" s="91"/>
    </row>
    <row r="68" spans="1:9" x14ac:dyDescent="0.35">
      <c r="A68" s="94"/>
      <c r="B68" s="95"/>
      <c r="C68" s="95"/>
      <c r="D68" s="95"/>
      <c r="E68" s="102"/>
      <c r="F68" s="102"/>
      <c r="G68" s="102"/>
      <c r="H68" s="102"/>
      <c r="I68" s="103"/>
    </row>
    <row r="69" spans="1:9" x14ac:dyDescent="0.35">
      <c r="A69" s="184" t="s">
        <v>80</v>
      </c>
      <c r="B69" s="185"/>
      <c r="C69" s="185"/>
      <c r="D69" s="185"/>
      <c r="E69" s="185"/>
      <c r="F69" s="185"/>
      <c r="G69" s="185"/>
      <c r="H69" s="185"/>
      <c r="I69" s="186"/>
    </row>
    <row r="70" spans="1:9" x14ac:dyDescent="0.35">
      <c r="A70" s="59"/>
      <c r="E70" s="14">
        <v>2008</v>
      </c>
      <c r="F70" s="15">
        <f>E70+1</f>
        <v>2009</v>
      </c>
      <c r="G70" s="15">
        <f>F70+1</f>
        <v>2010</v>
      </c>
      <c r="H70" s="15">
        <f>G70+1</f>
        <v>2011</v>
      </c>
      <c r="I70" s="60">
        <f>H70+1</f>
        <v>2012</v>
      </c>
    </row>
    <row r="71" spans="1:9" x14ac:dyDescent="0.35">
      <c r="A71" s="62" t="s">
        <v>58</v>
      </c>
      <c r="E71" s="56">
        <f>E74*E19</f>
        <v>631.27446623342269</v>
      </c>
      <c r="F71" s="56">
        <f>F74*F19</f>
        <v>719.65289150610204</v>
      </c>
      <c r="G71" s="56">
        <f>G74*G19</f>
        <v>867.43875315467631</v>
      </c>
      <c r="H71" s="56">
        <f>H74*H19</f>
        <v>970.08567227797982</v>
      </c>
      <c r="I71" s="96">
        <f>I74*I19</f>
        <v>1055.0079262118229</v>
      </c>
    </row>
    <row r="72" spans="1:9" x14ac:dyDescent="0.35">
      <c r="A72" s="62"/>
      <c r="E72" s="41"/>
      <c r="F72" s="41"/>
      <c r="G72" s="41"/>
      <c r="H72" s="41"/>
      <c r="I72" s="97"/>
    </row>
    <row r="73" spans="1:9" x14ac:dyDescent="0.35">
      <c r="A73" s="71" t="s">
        <v>79</v>
      </c>
      <c r="B73" s="34"/>
      <c r="C73" s="34"/>
      <c r="D73" s="34"/>
      <c r="E73" s="34"/>
      <c r="F73" s="34"/>
      <c r="G73" s="34"/>
      <c r="H73" s="34"/>
      <c r="I73" s="89"/>
    </row>
    <row r="74" spans="1:9" ht="18.600000000000001" thickBot="1" x14ac:dyDescent="0.4">
      <c r="A74" s="98" t="s">
        <v>59</v>
      </c>
      <c r="B74" s="99"/>
      <c r="C74" s="99"/>
      <c r="D74" s="99"/>
      <c r="E74" s="100">
        <v>0.14000000000000001</v>
      </c>
      <c r="F74" s="100">
        <v>0.14000000000000001</v>
      </c>
      <c r="G74" s="100">
        <v>0.15</v>
      </c>
      <c r="H74" s="100">
        <v>0.1525</v>
      </c>
      <c r="I74" s="101">
        <v>0.155</v>
      </c>
    </row>
  </sheetData>
  <mergeCells count="8">
    <mergeCell ref="E41:I41"/>
    <mergeCell ref="A40:I40"/>
    <mergeCell ref="A69:I69"/>
    <mergeCell ref="A1:I1"/>
    <mergeCell ref="A3:I3"/>
    <mergeCell ref="A5:I5"/>
    <mergeCell ref="E15:I15"/>
    <mergeCell ref="A14:I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CE1D-BBDB-4971-B8C6-902A6DCB7B5F}">
  <dimension ref="A1:D13"/>
  <sheetViews>
    <sheetView workbookViewId="0">
      <selection activeCell="G29" sqref="G29"/>
    </sheetView>
  </sheetViews>
  <sheetFormatPr defaultRowHeight="15.6" x14ac:dyDescent="0.3"/>
  <cols>
    <col min="1" max="1" width="49.21875" style="1" bestFit="1" customWidth="1"/>
    <col min="2" max="3" width="8.88671875" style="1"/>
    <col min="4" max="4" width="13.44140625" style="1" customWidth="1"/>
  </cols>
  <sheetData>
    <row r="1" spans="1:4" x14ac:dyDescent="0.3">
      <c r="A1" s="175" t="s">
        <v>32</v>
      </c>
      <c r="B1" s="175"/>
      <c r="C1" s="175"/>
      <c r="D1" s="175"/>
    </row>
    <row r="2" spans="1:4" ht="16.2" thickBot="1" x14ac:dyDescent="0.35"/>
    <row r="3" spans="1:4" x14ac:dyDescent="0.3">
      <c r="A3" s="176" t="s">
        <v>96</v>
      </c>
      <c r="B3" s="177"/>
      <c r="C3" s="177"/>
      <c r="D3" s="178"/>
    </row>
    <row r="4" spans="1:4" x14ac:dyDescent="0.3">
      <c r="A4" s="90" t="s">
        <v>95</v>
      </c>
      <c r="B4" s="34"/>
      <c r="C4" s="34"/>
      <c r="D4" s="121">
        <v>2012</v>
      </c>
    </row>
    <row r="5" spans="1:4" x14ac:dyDescent="0.3">
      <c r="A5" s="62" t="s">
        <v>113</v>
      </c>
      <c r="B5" s="3"/>
      <c r="C5" s="34"/>
      <c r="D5" s="159">
        <v>0.10470293663299725</v>
      </c>
    </row>
    <row r="6" spans="1:4" x14ac:dyDescent="0.3">
      <c r="A6" s="62" t="s">
        <v>117</v>
      </c>
      <c r="B6" s="3"/>
      <c r="C6" s="34"/>
      <c r="D6" s="159">
        <v>0.28732837451791987</v>
      </c>
    </row>
    <row r="7" spans="1:4" x14ac:dyDescent="0.3">
      <c r="A7" s="62" t="s">
        <v>97</v>
      </c>
      <c r="B7" s="3"/>
      <c r="C7" s="3"/>
      <c r="D7" s="122">
        <f>D5*D6</f>
        <v>3.0084124590011866E-2</v>
      </c>
    </row>
    <row r="8" spans="1:4" x14ac:dyDescent="0.3">
      <c r="A8" s="61"/>
      <c r="D8" s="70"/>
    </row>
    <row r="9" spans="1:4" x14ac:dyDescent="0.3">
      <c r="A9" s="62" t="s">
        <v>101</v>
      </c>
      <c r="D9" s="70"/>
    </row>
    <row r="10" spans="1:4" x14ac:dyDescent="0.3">
      <c r="A10" s="64" t="s">
        <v>98</v>
      </c>
      <c r="D10" s="123">
        <f>'Near Term FCFF'!I11</f>
        <v>293.71965868925645</v>
      </c>
    </row>
    <row r="11" spans="1:4" x14ac:dyDescent="0.3">
      <c r="A11" s="64" t="s">
        <v>99</v>
      </c>
      <c r="D11" s="116">
        <f>D7</f>
        <v>3.0084124590011866E-2</v>
      </c>
    </row>
    <row r="12" spans="1:4" x14ac:dyDescent="0.3">
      <c r="A12" s="64" t="s">
        <v>89</v>
      </c>
      <c r="D12" s="92">
        <f>'Cost of Capital'!C10</f>
        <v>7.5533957327115139E-2</v>
      </c>
    </row>
    <row r="13" spans="1:4" ht="16.2" thickBot="1" x14ac:dyDescent="0.35">
      <c r="A13" s="124" t="s">
        <v>100</v>
      </c>
      <c r="B13" s="86"/>
      <c r="C13" s="86"/>
      <c r="D13" s="125">
        <f>D10*(1+D11)/(D12-D11)</f>
        <v>6656.9212530634077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DF1F-C965-4EF6-92CC-811217A47D61}">
  <dimension ref="A1:J29"/>
  <sheetViews>
    <sheetView tabSelected="1" workbookViewId="0">
      <selection activeCell="A20" sqref="A20"/>
    </sheetView>
  </sheetViews>
  <sheetFormatPr defaultRowHeight="15.6" x14ac:dyDescent="0.3"/>
  <cols>
    <col min="1" max="1" width="48.33203125" style="1" bestFit="1" customWidth="1"/>
    <col min="2" max="2" width="13.21875" style="1" bestFit="1" customWidth="1"/>
    <col min="5" max="8" width="9.77734375" bestFit="1" customWidth="1"/>
    <col min="9" max="9" width="11.44140625" bestFit="1" customWidth="1"/>
    <col min="12" max="12" width="12" bestFit="1" customWidth="1"/>
  </cols>
  <sheetData>
    <row r="1" spans="1:9" x14ac:dyDescent="0.3">
      <c r="A1" s="175" t="s">
        <v>32</v>
      </c>
      <c r="B1" s="175"/>
      <c r="C1" s="175"/>
      <c r="D1" s="175"/>
      <c r="E1" s="175"/>
      <c r="F1" s="175"/>
      <c r="G1" s="175"/>
      <c r="H1" s="175"/>
      <c r="I1" s="175"/>
    </row>
    <row r="2" spans="1:9" x14ac:dyDescent="0.3">
      <c r="A2" s="33"/>
      <c r="B2" s="126"/>
      <c r="C2" s="33"/>
      <c r="D2" s="33"/>
      <c r="E2" s="33"/>
      <c r="F2" s="33"/>
      <c r="G2" s="33"/>
      <c r="H2" s="33"/>
      <c r="I2" s="33"/>
    </row>
    <row r="3" spans="1:9" x14ac:dyDescent="0.3">
      <c r="A3" s="172" t="s">
        <v>81</v>
      </c>
      <c r="B3" s="172"/>
      <c r="C3" s="172"/>
      <c r="D3" s="172"/>
      <c r="E3" s="172"/>
      <c r="F3" s="172"/>
      <c r="G3" s="172"/>
      <c r="H3" s="172"/>
      <c r="I3" s="172"/>
    </row>
    <row r="4" spans="1:9" ht="16.2" thickBot="1" x14ac:dyDescent="0.35">
      <c r="A4" s="12"/>
      <c r="B4" s="12"/>
      <c r="C4" s="12"/>
      <c r="D4" s="12"/>
      <c r="E4" s="12"/>
      <c r="F4" s="12"/>
      <c r="G4" s="12"/>
      <c r="H4" s="12"/>
      <c r="I4" s="12"/>
    </row>
    <row r="5" spans="1:9" x14ac:dyDescent="0.3">
      <c r="A5" s="187" t="s">
        <v>105</v>
      </c>
      <c r="B5" s="188"/>
      <c r="C5" s="188"/>
      <c r="D5" s="188"/>
      <c r="E5" s="188"/>
      <c r="F5" s="188"/>
      <c r="G5" s="188"/>
      <c r="H5" s="188"/>
      <c r="I5" s="189"/>
    </row>
    <row r="6" spans="1:9" x14ac:dyDescent="0.3">
      <c r="A6" s="130" t="s">
        <v>102</v>
      </c>
      <c r="B6" s="44"/>
      <c r="C6" s="44"/>
      <c r="D6" s="13">
        <v>0</v>
      </c>
      <c r="E6" s="13">
        <v>1</v>
      </c>
      <c r="F6" s="13">
        <v>2</v>
      </c>
      <c r="G6" s="13">
        <v>3</v>
      </c>
      <c r="H6" s="13">
        <v>4</v>
      </c>
      <c r="I6" s="131">
        <v>5</v>
      </c>
    </row>
    <row r="7" spans="1:9" ht="18" x14ac:dyDescent="0.35">
      <c r="A7" s="129" t="s">
        <v>103</v>
      </c>
      <c r="B7" s="12"/>
      <c r="C7" s="12"/>
      <c r="D7" s="45">
        <v>2007</v>
      </c>
      <c r="E7" s="55">
        <v>2008</v>
      </c>
      <c r="F7" s="55">
        <f>E7+1</f>
        <v>2009</v>
      </c>
      <c r="G7" s="55">
        <f>F7+1</f>
        <v>2010</v>
      </c>
      <c r="H7" s="55">
        <f>G7+1</f>
        <v>2011</v>
      </c>
      <c r="I7" s="134">
        <f>H7+1</f>
        <v>2012</v>
      </c>
    </row>
    <row r="8" spans="1:9" x14ac:dyDescent="0.3">
      <c r="A8" s="128" t="s">
        <v>74</v>
      </c>
      <c r="B8" s="12"/>
      <c r="C8" s="12"/>
      <c r="D8" s="12"/>
      <c r="E8" s="138">
        <f>'Near Term FCFF'!E11</f>
        <v>260.1193224312359</v>
      </c>
      <c r="F8" s="138">
        <f>'Near Term FCFF'!F11</f>
        <v>306.9482077486656</v>
      </c>
      <c r="G8" s="138">
        <f>'Near Term FCFF'!G11</f>
        <v>278.5735764402948</v>
      </c>
      <c r="H8" s="138">
        <f>'Near Term FCFF'!H11</f>
        <v>289.00259736526698</v>
      </c>
      <c r="I8" s="139">
        <f>'Near Term FCFF'!I11</f>
        <v>293.71965868925645</v>
      </c>
    </row>
    <row r="9" spans="1:9" x14ac:dyDescent="0.3">
      <c r="A9" s="61" t="s">
        <v>100</v>
      </c>
      <c r="B9" s="12"/>
      <c r="C9" s="12"/>
      <c r="D9" s="12"/>
      <c r="E9" s="138"/>
      <c r="F9" s="138"/>
      <c r="G9" s="138"/>
      <c r="H9" s="138"/>
      <c r="I9" s="140">
        <f>'Terminal Value'!D13</f>
        <v>6656.9212530634077</v>
      </c>
    </row>
    <row r="10" spans="1:9" x14ac:dyDescent="0.3">
      <c r="A10" s="61" t="s">
        <v>89</v>
      </c>
      <c r="B10" s="53">
        <f>'Cost of Capital'!C10</f>
        <v>7.5533957327115139E-2</v>
      </c>
      <c r="I10" s="135"/>
    </row>
    <row r="11" spans="1:9" x14ac:dyDescent="0.3">
      <c r="A11" s="61" t="s">
        <v>118</v>
      </c>
      <c r="B11" s="132">
        <f>NPV(B10,E8:I8)</f>
        <v>1151.1683778436288</v>
      </c>
      <c r="I11" s="135"/>
    </row>
    <row r="12" spans="1:9" x14ac:dyDescent="0.3">
      <c r="A12" s="61" t="s">
        <v>119</v>
      </c>
      <c r="B12" s="133">
        <f>I9/(1+B10)^5</f>
        <v>4625.4371693042121</v>
      </c>
      <c r="I12" s="135"/>
    </row>
    <row r="13" spans="1:9" ht="16.2" thickBot="1" x14ac:dyDescent="0.35">
      <c r="A13" s="85" t="s">
        <v>121</v>
      </c>
      <c r="B13" s="136">
        <f>SUM(B11:B12)</f>
        <v>5776.6055471478412</v>
      </c>
      <c r="C13" s="115"/>
      <c r="D13" s="115"/>
      <c r="E13" s="115"/>
      <c r="F13" s="115"/>
      <c r="G13" s="115"/>
      <c r="H13" s="115"/>
      <c r="I13" s="137"/>
    </row>
    <row r="14" spans="1:9" x14ac:dyDescent="0.3">
      <c r="A14" s="57"/>
      <c r="B14" s="127"/>
    </row>
    <row r="17" spans="1:10" ht="16.2" thickBot="1" x14ac:dyDescent="0.35">
      <c r="C17" s="57"/>
      <c r="D17" s="57"/>
      <c r="E17" s="57"/>
      <c r="F17" s="57"/>
      <c r="G17" s="57"/>
      <c r="H17" s="57"/>
      <c r="I17" s="57"/>
    </row>
    <row r="18" spans="1:10" x14ac:dyDescent="0.3">
      <c r="A18" s="176" t="s">
        <v>106</v>
      </c>
      <c r="B18" s="178"/>
      <c r="C18" s="120"/>
      <c r="D18" s="120"/>
      <c r="E18" s="120"/>
      <c r="F18" s="120"/>
      <c r="G18" s="120"/>
      <c r="H18" s="120"/>
      <c r="I18" s="120"/>
    </row>
    <row r="19" spans="1:10" x14ac:dyDescent="0.3">
      <c r="A19" s="61" t="s">
        <v>122</v>
      </c>
      <c r="B19" s="141">
        <f>B13</f>
        <v>5776.6055471478412</v>
      </c>
      <c r="J19" s="146"/>
    </row>
    <row r="20" spans="1:10" x14ac:dyDescent="0.3">
      <c r="A20" s="61" t="s">
        <v>107</v>
      </c>
      <c r="B20" s="70">
        <f>'Target historical Info'!G47+'Target historical Info'!G50</f>
        <v>1002.293</v>
      </c>
    </row>
    <row r="21" spans="1:10" x14ac:dyDescent="0.3">
      <c r="A21" s="82" t="s">
        <v>108</v>
      </c>
      <c r="B21" s="142">
        <f>'Target historical Info'!G51</f>
        <v>765.78600000000006</v>
      </c>
    </row>
    <row r="22" spans="1:10" x14ac:dyDescent="0.3">
      <c r="A22" s="67" t="s">
        <v>111</v>
      </c>
      <c r="B22" s="145">
        <f>B19-B20-B21</f>
        <v>4008.5265471478415</v>
      </c>
    </row>
    <row r="23" spans="1:10" x14ac:dyDescent="0.3">
      <c r="A23" s="67"/>
      <c r="B23" s="69"/>
    </row>
    <row r="24" spans="1:10" x14ac:dyDescent="0.3">
      <c r="A24" s="61"/>
      <c r="B24" s="70"/>
    </row>
    <row r="25" spans="1:10" x14ac:dyDescent="0.3">
      <c r="A25" s="67" t="s">
        <v>112</v>
      </c>
      <c r="B25" s="143">
        <f>B22</f>
        <v>4008.5265471478415</v>
      </c>
    </row>
    <row r="26" spans="1:10" ht="16.2" thickBot="1" x14ac:dyDescent="0.35">
      <c r="A26" s="85" t="s">
        <v>109</v>
      </c>
      <c r="B26" s="144">
        <f>B25/'Target historical Info'!G24</f>
        <v>40.085265471478415</v>
      </c>
    </row>
    <row r="29" spans="1:10" x14ac:dyDescent="0.3">
      <c r="C29" s="57"/>
      <c r="D29" s="57"/>
      <c r="E29" s="57"/>
      <c r="F29" s="57"/>
      <c r="G29" s="57"/>
      <c r="H29" s="57"/>
      <c r="I29" s="57"/>
    </row>
  </sheetData>
  <mergeCells count="4">
    <mergeCell ref="A1:I1"/>
    <mergeCell ref="A3:I3"/>
    <mergeCell ref="A5:I5"/>
    <mergeCell ref="A18:B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Target historical Info</vt:lpstr>
      <vt:lpstr>Cost of Capital</vt:lpstr>
      <vt:lpstr>Near Term FCFF</vt:lpstr>
      <vt:lpstr>Terminal Value</vt:lpstr>
      <vt:lpstr>AirThread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Keke Song</dc:creator>
  <cp:lastModifiedBy>Keke Song</cp:lastModifiedBy>
  <dcterms:created xsi:type="dcterms:W3CDTF">2015-06-05T18:17:20Z</dcterms:created>
  <dcterms:modified xsi:type="dcterms:W3CDTF">2025-04-21T00:32:47Z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524f1f-6176-4541-a517-78364e0657ce_Enabled">
    <vt:lpwstr>true</vt:lpwstr>
  </property>
  <property fmtid="{D5CDD505-2E9C-101B-9397-08002B2CF9AE}" pid="3" name="MSIP_Label_d1524f1f-6176-4541-a517-78364e0657ce_SetDate">
    <vt:lpwstr>2025-03-11T07:46:42Z</vt:lpwstr>
  </property>
  <property fmtid="{D5CDD505-2E9C-101B-9397-08002B2CF9AE}" pid="4" name="MSIP_Label_d1524f1f-6176-4541-a517-78364e0657ce_Method">
    <vt:lpwstr>Standard</vt:lpwstr>
  </property>
  <property fmtid="{D5CDD505-2E9C-101B-9397-08002B2CF9AE}" pid="5" name="MSIP_Label_d1524f1f-6176-4541-a517-78364e0657ce_Name">
    <vt:lpwstr>Internal Use</vt:lpwstr>
  </property>
  <property fmtid="{D5CDD505-2E9C-101B-9397-08002B2CF9AE}" pid="6" name="MSIP_Label_d1524f1f-6176-4541-a517-78364e0657ce_SiteId">
    <vt:lpwstr>f6e78445-b0df-4ce6-b13f-316ef8b33be5</vt:lpwstr>
  </property>
  <property fmtid="{D5CDD505-2E9C-101B-9397-08002B2CF9AE}" pid="7" name="MSIP_Label_d1524f1f-6176-4541-a517-78364e0657ce_ActionId">
    <vt:lpwstr>56f5b6cb-5a62-4a7b-b4ec-6cdb74c26915</vt:lpwstr>
  </property>
  <property fmtid="{D5CDD505-2E9C-101B-9397-08002B2CF9AE}" pid="8" name="MSIP_Label_d1524f1f-6176-4541-a517-78364e0657ce_ContentBits">
    <vt:lpwstr>0</vt:lpwstr>
  </property>
  <property fmtid="{D5CDD505-2E9C-101B-9397-08002B2CF9AE}" pid="9" name="MSIP_Label_d1524f1f-6176-4541-a517-78364e0657ce_Tag">
    <vt:lpwstr>10, 3, 0, 1</vt:lpwstr>
  </property>
</Properties>
</file>