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ropbox\Teaching\0.1 M&amp;A 2026 term 2\module 9 LBO\"/>
    </mc:Choice>
  </mc:AlternateContent>
  <xr:revisionPtr revIDLastSave="0" documentId="13_ncr:1_{E03B5080-B562-4436-9F8F-2FBE470FAC8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Virgin Australia Mini Case" sheetId="22" r:id="rId1"/>
  </sheets>
  <definedNames>
    <definedName name="atc_siz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22" l="1"/>
  <c r="B11" i="22"/>
  <c r="B8" i="22"/>
  <c r="B4" i="22"/>
  <c r="G14" i="22" l="1"/>
  <c r="B14" i="22"/>
  <c r="B1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Keke Song</author>
  </authors>
  <commentList>
    <comment ref="B14" authorId="0" shapeId="0" xr:uid="{A94C7A0C-AB6F-4E7D-9E22-7CE62FEB6F58}">
      <text>
        <r>
          <rPr>
            <b/>
            <sz val="9"/>
            <color indexed="81"/>
            <rFont val="Tahoma"/>
            <family val="2"/>
          </rPr>
          <t>Keke Song: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<sst xmlns="http://schemas.openxmlformats.org/spreadsheetml/2006/main" count="17" uniqueCount="17">
  <si>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Year</t>
  </si>
  <si>
    <t>Debt Financing</t>
  </si>
  <si>
    <t>Price Paid</t>
  </si>
  <si>
    <t>Equity Investment</t>
  </si>
  <si>
    <t>Bain Capital's cash flow</t>
  </si>
  <si>
    <t>Total Exit Value at 2025</t>
  </si>
  <si>
    <t>What is the IRR from this investment?</t>
  </si>
  <si>
    <t>https://www.ch-aviation.com/news/132929-bain-capital-delays-any-virgin-australia-ipo-to-2024</t>
  </si>
  <si>
    <t>https://www.virginaustralia.com/au/en/newsroom/2025/6/virgin-australia-confirms-intention-to-list-on-asx/</t>
  </si>
  <si>
    <t>All dollar amounts (exept for per share level) and number of shares are in million</t>
  </si>
  <si>
    <t># of share sold in VA's 2025 listing</t>
  </si>
  <si>
    <t>VA's 2025 listing offer price</t>
  </si>
  <si>
    <t>Proceeds received from VA's 2025 listing</t>
  </si>
  <si>
    <t>VA Market Cap after 2025 Listing</t>
  </si>
  <si>
    <t>Bain Capital's equity ewnership in VA after listing</t>
  </si>
  <si>
    <t>https://www.afr.com/companies/transport/bain-capital-s-virgin-australia-payday-soars-beyond-1b-20241015-p5kib6</t>
  </si>
  <si>
    <t>Sources of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</si>
</sst>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6" formatCode="&quot;$&quot;#,##0.00"/>
    <numFmt numFmtId="169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8" fontId="2" fillId="0" borderId="0" xfId="0" applyNumberFormat="1" applyFont="1"/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9" fontId="3" fillId="0" borderId="0" xfId="0" applyNumberFormat="1" applyFont="1"/>
    <xf numFmtId="0" fontId="2" fillId="0" borderId="1" xfId="0" applyFont="1" applyFill="1" applyBorder="1" applyAlignment="1">
      <alignment horizontal="left"/>
    </xf>
    <xf numFmtId="169" fontId="2" fillId="0" borderId="2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169" fontId="5" fillId="0" borderId="4" xfId="0" applyNumberFormat="1" applyFont="1" applyFill="1" applyBorder="1" applyAlignment="1">
      <alignment horizontal="center"/>
    </xf>
    <xf numFmtId="169" fontId="2" fillId="0" borderId="4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6" fontId="2" fillId="0" borderId="6" xfId="0" applyNumberFormat="1" applyFont="1" applyFill="1" applyBorder="1" applyAlignment="1">
      <alignment horizontal="center"/>
    </xf>
    <xf numFmtId="6" fontId="2" fillId="0" borderId="0" xfId="0" applyNumberFormat="1" applyFont="1" applyFill="1" applyBorder="1" applyAlignment="1">
      <alignment horizontal="center"/>
    </xf>
    <xf numFmtId="0" fontId="3" fillId="0" borderId="7" xfId="0" applyFont="1" applyBorder="1" applyAlignment="1"/>
    <xf numFmtId="6" fontId="2" fillId="0" borderId="4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2"/>
    <xf numFmtId="166" fontId="2" fillId="0" borderId="4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9" fontId="2" fillId="0" borderId="4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7" xfId="0" applyNumberFormat="1" applyFont="1" applyBorder="1"/>
    <xf numFmtId="0" fontId="3" fillId="0" borderId="7" xfId="0" applyNumberFormat="1" applyFont="1" applyBorder="1" applyAlignment="1">
      <alignment horizontal="center"/>
    </xf>
    <xf numFmtId="166" fontId="3" fillId="0" borderId="7" xfId="0" applyNumberFormat="1" applyFont="1" applyBorder="1"/>
    <xf numFmtId="166" fontId="3" fillId="0" borderId="7" xfId="0" applyNumberFormat="1" applyFont="1" applyBorder="1" applyAlignment="1">
      <alignment horizontal="center"/>
    </xf>
    <xf numFmtId="8" fontId="3" fillId="0" borderId="7" xfId="0" applyNumberFormat="1" applyFont="1" applyBorder="1"/>
  </cellXfs>
  <cellStyles count="3">
    <cellStyle name="Comma 3" xfId="1" xr:uid="{72C0FA1D-9492-4976-8B9B-BB2C6440856C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h-aviation.com/news/132929-bain-capital-delays-any-virgin-australia-ipo-to-2024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D4E-B51B-4956-8D2E-9B33CB84E5FB}">
  <dimension ref="A1:G34"/>
  <sheetViews>
    <sheetView tabSelected="1" workbookViewId="0">
      <selection activeCell="C35" sqref="C35"/>
    </sheetView>
  </sheetViews>
  <sheetFormatPr defaultRowHeight="13.8" x14ac:dyDescent="0.25"/>
  <cols>
    <col min="1" max="1" width="51.5546875" style="3" bestFit="1" customWidth="1"/>
    <col min="2" max="5" width="11.6640625" style="1" bestFit="1" customWidth="1"/>
    <col min="6" max="6" width="9.109375" style="1" bestFit="1" customWidth="1"/>
    <col min="7" max="7" width="9.77734375" style="1" bestFit="1" customWidth="1"/>
    <col min="8" max="16384" width="8.88671875" style="1"/>
  </cols>
  <sheetData>
    <row r="1" spans="1:7" x14ac:dyDescent="0.25">
      <c r="A1" s="16" t="s">
        <v>9</v>
      </c>
    </row>
    <row r="2" spans="1:7" ht="14.4" thickBot="1" x14ac:dyDescent="0.3"/>
    <row r="3" spans="1:7" x14ac:dyDescent="0.25">
      <c r="A3" s="7" t="s">
        <v>2</v>
      </c>
      <c r="B3" s="8">
        <v>3500</v>
      </c>
      <c r="C3" s="1" t="s">
        <v>16</v>
      </c>
    </row>
    <row r="4" spans="1:7" x14ac:dyDescent="0.25">
      <c r="A4" s="9" t="s">
        <v>1</v>
      </c>
      <c r="B4" s="10">
        <f>B3-B5</f>
        <v>2769</v>
      </c>
    </row>
    <row r="5" spans="1:7" ht="14.4" x14ac:dyDescent="0.3">
      <c r="A5" s="9" t="s">
        <v>3</v>
      </c>
      <c r="B5" s="11">
        <v>731</v>
      </c>
      <c r="C5" s="19" t="s">
        <v>7</v>
      </c>
    </row>
    <row r="6" spans="1:7" ht="14.4" x14ac:dyDescent="0.3">
      <c r="A6" s="9" t="s">
        <v>11</v>
      </c>
      <c r="B6" s="20">
        <v>2.91</v>
      </c>
      <c r="C6" s="19" t="s">
        <v>8</v>
      </c>
    </row>
    <row r="7" spans="1:7" ht="14.4" x14ac:dyDescent="0.3">
      <c r="A7" s="9" t="s">
        <v>10</v>
      </c>
      <c r="B7" s="21">
        <v>236.2</v>
      </c>
      <c r="C7" s="19" t="s">
        <v>15</v>
      </c>
    </row>
    <row r="8" spans="1:7" x14ac:dyDescent="0.25">
      <c r="A8" s="9" t="s">
        <v>12</v>
      </c>
      <c r="B8" s="17">
        <f>B6*B7</f>
        <v>687.34199999999998</v>
      </c>
    </row>
    <row r="9" spans="1:7" x14ac:dyDescent="0.25">
      <c r="A9" s="9" t="s">
        <v>13</v>
      </c>
      <c r="B9" s="17">
        <v>2300</v>
      </c>
    </row>
    <row r="10" spans="1:7" x14ac:dyDescent="0.25">
      <c r="A10" s="9" t="s">
        <v>14</v>
      </c>
      <c r="B10" s="22">
        <v>0.4</v>
      </c>
    </row>
    <row r="11" spans="1:7" ht="14.4" thickBot="1" x14ac:dyDescent="0.3">
      <c r="A11" s="13" t="s">
        <v>5</v>
      </c>
      <c r="B11" s="14">
        <f>B8+B9*B10</f>
        <v>1607.3420000000001</v>
      </c>
      <c r="C11" s="5"/>
      <c r="D11" s="5"/>
      <c r="E11" s="5"/>
      <c r="F11" s="5"/>
      <c r="G11" s="5"/>
    </row>
    <row r="12" spans="1:7" x14ac:dyDescent="0.25">
      <c r="A12" s="12"/>
      <c r="B12" s="15"/>
      <c r="C12" s="5"/>
      <c r="D12" s="5"/>
      <c r="E12" s="5"/>
      <c r="F12" s="5"/>
      <c r="G12" s="5"/>
    </row>
    <row r="13" spans="1:7" x14ac:dyDescent="0.25">
      <c r="A13" s="23" t="s">
        <v>0</v>
      </c>
      <c r="B13" s="24">
        <v>2020</v>
      </c>
      <c r="C13" s="25">
        <v>2021</v>
      </c>
      <c r="D13" s="25">
        <v>2022</v>
      </c>
      <c r="E13" s="25">
        <v>2023</v>
      </c>
      <c r="F13" s="25">
        <v>2024</v>
      </c>
      <c r="G13" s="25">
        <v>2025</v>
      </c>
    </row>
    <row r="14" spans="1:7" x14ac:dyDescent="0.25">
      <c r="A14" s="23" t="s">
        <v>4</v>
      </c>
      <c r="B14" s="26">
        <f>-B5</f>
        <v>-731</v>
      </c>
      <c r="C14" s="27">
        <v>0</v>
      </c>
      <c r="D14" s="27">
        <v>0</v>
      </c>
      <c r="E14" s="27">
        <v>730</v>
      </c>
      <c r="F14" s="27">
        <v>366.5</v>
      </c>
      <c r="G14" s="28">
        <f>B11</f>
        <v>1607.3420000000001</v>
      </c>
    </row>
    <row r="17" spans="1:7" x14ac:dyDescent="0.25">
      <c r="A17" s="18" t="s">
        <v>6</v>
      </c>
      <c r="B17" s="6">
        <f>IRR(B14:G14)</f>
        <v>0.36536250806865822</v>
      </c>
    </row>
    <row r="21" spans="1:7" x14ac:dyDescent="0.25">
      <c r="C21" s="2"/>
      <c r="D21" s="2"/>
      <c r="E21" s="2"/>
      <c r="F21" s="2"/>
      <c r="G21" s="2"/>
    </row>
    <row r="22" spans="1:7" x14ac:dyDescent="0.25">
      <c r="A22" s="4"/>
    </row>
    <row r="34" spans="3:3" x14ac:dyDescent="0.25">
      <c r="C34" s="1">
        <f>2300*40%</f>
        <v>920</v>
      </c>
    </row>
  </sheetData>
  <hyperlinks>
    <hyperlink ref="C5" r:id="rId1" xr:uid="{66C5D156-5D67-4F69-B9DB-BC55430C89EE}"/>
  </hyperlinks>
  <pageMargins left="0.7" right="0.7" top="0.75" bottom="0.75" header="0.3" footer="0.3"/>
  <pageSetup paperSize="9" orientation="landscape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Virgin Australia Mini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Keke Song</dc:creator>
  <cp:lastModifiedBy>Keke Song</cp:lastModifiedBy>
  <cp:lastPrinted>2024-06-06T00:21:12Z</cp:lastPrinted>
  <dcterms:created xsi:type="dcterms:W3CDTF">2015-06-05T18:17:20Z</dcterms:created>
  <dcterms:modified xsi:type="dcterms:W3CDTF">2026-06-05T07:28:13Z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524f1f-6176-4541-a517-78364e0657ce_Enabled">
    <vt:lpwstr>true</vt:lpwstr>
  </property>
  <property fmtid="{D5CDD505-2E9C-101B-9397-08002B2CF9AE}" pid="3" name="MSIP_Label_d1524f1f-6176-4541-a517-78364e0657ce_SetDate">
    <vt:lpwstr>2025-06-04T00:43:11Z</vt:lpwstr>
  </property>
  <property fmtid="{D5CDD505-2E9C-101B-9397-08002B2CF9AE}" pid="4" name="MSIP_Label_d1524f1f-6176-4541-a517-78364e0657ce_Method">
    <vt:lpwstr>Standard</vt:lpwstr>
  </property>
  <property fmtid="{D5CDD505-2E9C-101B-9397-08002B2CF9AE}" pid="5" name="MSIP_Label_d1524f1f-6176-4541-a517-78364e0657ce_Name">
    <vt:lpwstr>Internal Use</vt:lpwstr>
  </property>
  <property fmtid="{D5CDD505-2E9C-101B-9397-08002B2CF9AE}" pid="6" name="MSIP_Label_d1524f1f-6176-4541-a517-78364e0657ce_SiteId">
    <vt:lpwstr>f6e78445-b0df-4ce6-b13f-316ef8b33be5</vt:lpwstr>
  </property>
  <property fmtid="{D5CDD505-2E9C-101B-9397-08002B2CF9AE}" pid="7" name="MSIP_Label_d1524f1f-6176-4541-a517-78364e0657ce_ActionId">
    <vt:lpwstr>1c25c6aa-331a-4a3b-a893-ae2793916fae</vt:lpwstr>
  </property>
  <property fmtid="{D5CDD505-2E9C-101B-9397-08002B2CF9AE}" pid="8" name="MSIP_Label_d1524f1f-6176-4541-a517-78364e0657ce_ContentBits">
    <vt:lpwstr>0</vt:lpwstr>
  </property>
  <property fmtid="{D5CDD505-2E9C-101B-9397-08002B2CF9AE}" pid="9" name="MSIP_Label_d1524f1f-6176-4541-a517-78364e0657ce_Tag">
    <vt:lpwstr>10, 3, 0, 1</vt:lpwstr>
  </property>
</Properties>
</file>