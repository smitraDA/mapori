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ropbox\Teaching\0.1 M&amp;A 2026 term 2\module 2 Multiples\"/>
    </mc:Choice>
  </mc:AlternateContent>
  <xr:revisionPtr revIDLastSave="0" documentId="13_ncr:1_{1D6C1723-DE3F-4343-8B49-613174D33A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terprise Value Example" sheetId="19" r:id="rId1"/>
    <sheet name="Equity Value Example" sheetId="21" r:id="rId2"/>
    <sheet name="mini case " sheetId="22" r:id="rId3"/>
  </sheets>
  <definedNames>
    <definedName name="atc_siz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2" l="1"/>
  <c r="G4" i="22" s="1"/>
  <c r="E5" i="22"/>
  <c r="G5" i="22" s="1"/>
  <c r="E3" i="22"/>
  <c r="E6" i="22" s="1"/>
  <c r="C11" i="22" s="1"/>
  <c r="D20" i="21"/>
  <c r="E20" i="21" s="1"/>
  <c r="C20" i="21"/>
  <c r="H9" i="21"/>
  <c r="H8" i="21"/>
  <c r="H7" i="21"/>
  <c r="G9" i="21"/>
  <c r="G8" i="21"/>
  <c r="C19" i="21" s="1"/>
  <c r="D19" i="21" s="1"/>
  <c r="E19" i="21" s="1"/>
  <c r="G7" i="21"/>
  <c r="J8" i="19"/>
  <c r="K8" i="19" s="1"/>
  <c r="K7" i="19"/>
  <c r="M7" i="19" s="1"/>
  <c r="J7" i="19"/>
  <c r="K6" i="19"/>
  <c r="M6" i="19" s="1"/>
  <c r="J6" i="19"/>
  <c r="J5" i="19"/>
  <c r="K5" i="19" s="1"/>
  <c r="J4" i="19"/>
  <c r="K4" i="19" s="1"/>
  <c r="G3" i="22" l="1"/>
  <c r="G6" i="22" s="1"/>
  <c r="C12" i="22" s="1"/>
  <c r="M4" i="19"/>
  <c r="C14" i="19" s="1"/>
  <c r="D14" i="19" s="1"/>
  <c r="E14" i="19" s="1"/>
  <c r="L4" i="19"/>
  <c r="C13" i="19" s="1"/>
  <c r="D13" i="19" s="1"/>
  <c r="E13" i="19" s="1"/>
  <c r="M5" i="19"/>
  <c r="L5" i="19"/>
  <c r="M8" i="19"/>
  <c r="L8" i="19"/>
  <c r="L6" i="19"/>
  <c r="L7" i="19"/>
</calcChain>
</file>

<file path=xl/sharedStrings.xml><?xml version="1.0" encoding="utf-8"?>
<sst xmlns="http://schemas.openxmlformats.org/spreadsheetml/2006/main" count="62" uniqueCount="56">
  <si>
    <t>EPS ($)</t>
  </si>
  <si>
    <t>Estimated Share Value</t>
  </si>
  <si>
    <t>comparable company name</t>
  </si>
  <si>
    <t>fiscal year</t>
  </si>
  <si>
    <t>Cash (millions)</t>
  </si>
  <si>
    <t>number of shares outstanding (millions)</t>
  </si>
  <si>
    <t xml:space="preserve"> EBIT (millions)</t>
  </si>
  <si>
    <t xml:space="preserve"> EBITDA (millions)</t>
  </si>
  <si>
    <t>stock price ($)</t>
  </si>
  <si>
    <t>debt value (millions)</t>
  </si>
  <si>
    <t>Non-controlling interest  (millions)</t>
  </si>
  <si>
    <t>Enterprise Value (million)</t>
  </si>
  <si>
    <t>EV/EBIT multiple</t>
  </si>
  <si>
    <t>EV/EBITDA multiple</t>
  </si>
  <si>
    <t>BARRISTER GOLD CORP</t>
  </si>
  <si>
    <t>CALEDONY MINING CORP PLC</t>
  </si>
  <si>
    <t>SSRN MINING INC</t>
  </si>
  <si>
    <t>YAMANDY GOLD INC</t>
  </si>
  <si>
    <t>LITHIUM RESOURCES INC</t>
  </si>
  <si>
    <t>Target Valuation</t>
  </si>
  <si>
    <t>average multiple</t>
  </si>
  <si>
    <t>Estimated Enterprise Value</t>
  </si>
  <si>
    <t>Estimated Equity Value</t>
  </si>
  <si>
    <t>EBIT (millions)</t>
  </si>
  <si>
    <t>EBITDA (millions)</t>
  </si>
  <si>
    <t>Debt value (millions)</t>
  </si>
  <si>
    <t>Non-controlling interest (millions)</t>
  </si>
  <si>
    <t>equity mkt value (millions)</t>
  </si>
  <si>
    <t>EPS</t>
  </si>
  <si>
    <t>BHP Group Limited (BHP)</t>
  </si>
  <si>
    <t>Rio Tinto Group</t>
  </si>
  <si>
    <t>Shares outstanding (mln)</t>
  </si>
  <si>
    <t>Fortescue Ltd </t>
  </si>
  <si>
    <t>Shares Outstanding (mln)</t>
  </si>
  <si>
    <t>Estimated Equity Value (mln)</t>
  </si>
  <si>
    <t>Book value of equity per share</t>
  </si>
  <si>
    <t>Book value of equity per share ($)</t>
  </si>
  <si>
    <t>P/E Multiple</t>
  </si>
  <si>
    <t>P/B or (M/B) Multiple</t>
  </si>
  <si>
    <t>NovaCorp</t>
  </si>
  <si>
    <t>Axis Ltd.</t>
  </si>
  <si>
    <t>Vertex Inc.</t>
  </si>
  <si>
    <t>Comparables</t>
  </si>
  <si>
    <t>EV/EBIDA</t>
  </si>
  <si>
    <t>Average</t>
  </si>
  <si>
    <t>EV ($mln)</t>
  </si>
  <si>
    <t>EBIDA ($mln)</t>
  </si>
  <si>
    <t>Growth-Adj. EV/EBITDA</t>
  </si>
  <si>
    <t>FME LTD</t>
  </si>
  <si>
    <t>EBITDA growth (%)</t>
  </si>
  <si>
    <t>EBITDA ($mln)</t>
  </si>
  <si>
    <t>EV without adjustment ($mln)</t>
  </si>
  <si>
    <t>EV adjusted for growth ($mln)</t>
  </si>
  <si>
    <t>Expected EBITDA Growth Rate (%)</t>
  </si>
  <si>
    <t>James Hardie Industries plc as of 2025</t>
  </si>
  <si>
    <t>TerraCore Mining  Co. Information as of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</si>
</sst>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_ ;[Red]\-#,##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6" fillId="0" borderId="3" xfId="0" applyFont="1" applyBorder="1"/>
    <xf numFmtId="0" fontId="0" fillId="0" borderId="4" xfId="0" applyBorder="1"/>
    <xf numFmtId="164" fontId="3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7" fillId="0" borderId="5" xfId="0" applyFont="1" applyBorder="1"/>
    <xf numFmtId="0" fontId="0" fillId="0" borderId="6" xfId="0" applyBorder="1"/>
    <xf numFmtId="0" fontId="0" fillId="0" borderId="7" xfId="0" applyBorder="1"/>
    <xf numFmtId="164" fontId="3" fillId="0" borderId="7" xfId="0" applyNumberFormat="1" applyFont="1" applyBorder="1"/>
    <xf numFmtId="0" fontId="7" fillId="0" borderId="7" xfId="0" applyFont="1" applyBorder="1"/>
    <xf numFmtId="164" fontId="7" fillId="0" borderId="7" xfId="0" applyNumberFormat="1" applyFont="1" applyBorder="1"/>
    <xf numFmtId="0" fontId="7" fillId="0" borderId="8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4" xfId="0" applyFont="1" applyBorder="1"/>
    <xf numFmtId="0" fontId="3" fillId="0" borderId="5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0" xfId="0" applyFont="1"/>
    <xf numFmtId="0" fontId="6" fillId="0" borderId="5" xfId="0" applyFont="1" applyBorder="1"/>
    <xf numFmtId="0" fontId="0" fillId="0" borderId="5" xfId="0" applyBorder="1"/>
    <xf numFmtId="0" fontId="5" fillId="0" borderId="6" xfId="0" applyFont="1" applyBorder="1"/>
    <xf numFmtId="0" fontId="3" fillId="0" borderId="8" xfId="0" applyFont="1" applyBorder="1"/>
    <xf numFmtId="0" fontId="0" fillId="0" borderId="8" xfId="0" applyBorder="1"/>
    <xf numFmtId="0" fontId="4" fillId="0" borderId="4" xfId="0" applyFont="1" applyBorder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2" fillId="0" borderId="12" xfId="0" applyFont="1" applyBorder="1" applyAlignment="1">
      <alignment horizontal="left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2" fillId="0" borderId="12" xfId="2" applyNumberFormat="1" applyFont="1" applyBorder="1" applyAlignment="1">
      <alignment horizontal="center"/>
    </xf>
    <xf numFmtId="2" fontId="2" fillId="2" borderId="1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3">
    <cellStyle name="Comma 3" xfId="1" xr:uid="{72C0FA1D-9492-4976-8B9B-BB2C6440856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FC49-E23E-4B59-893A-1681A964D29E}">
  <dimension ref="A2:M17"/>
  <sheetViews>
    <sheetView tabSelected="1" workbookViewId="0">
      <selection activeCell="A11" sqref="A11:B11"/>
    </sheetView>
  </sheetViews>
  <sheetFormatPr defaultRowHeight="14.4" x14ac:dyDescent="0.3"/>
  <cols>
    <col min="1" max="1" width="24.88671875" customWidth="1"/>
    <col min="2" max="2" width="35.33203125" customWidth="1"/>
    <col min="3" max="3" width="34" customWidth="1"/>
    <col min="4" max="4" width="35.33203125" bestFit="1" customWidth="1"/>
    <col min="5" max="5" width="24.33203125" bestFit="1" customWidth="1"/>
    <col min="6" max="6" width="21.109375" bestFit="1" customWidth="1"/>
    <col min="7" max="7" width="13.109375" bestFit="1" customWidth="1"/>
    <col min="8" max="9" width="18.44140625" style="1" customWidth="1"/>
    <col min="10" max="10" width="18.5546875" customWidth="1"/>
    <col min="11" max="11" width="21.6640625" customWidth="1"/>
    <col min="12" max="12" width="17.44140625" customWidth="1"/>
    <col min="13" max="13" width="19.44140625" customWidth="1"/>
  </cols>
  <sheetData>
    <row r="2" spans="1:13" ht="15" thickBot="1" x14ac:dyDescent="0.35"/>
    <row r="3" spans="1:13" x14ac:dyDescent="0.3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  <c r="J3" s="5" t="s">
        <v>27</v>
      </c>
      <c r="K3" s="5" t="s">
        <v>11</v>
      </c>
      <c r="L3" s="5" t="s">
        <v>12</v>
      </c>
      <c r="M3" s="6" t="s">
        <v>13</v>
      </c>
    </row>
    <row r="4" spans="1:13" x14ac:dyDescent="0.3">
      <c r="A4" s="7" t="s">
        <v>14</v>
      </c>
      <c r="B4">
        <v>2025</v>
      </c>
      <c r="C4">
        <v>3314</v>
      </c>
      <c r="D4">
        <v>1777.9269999999999</v>
      </c>
      <c r="E4">
        <v>3662</v>
      </c>
      <c r="F4">
        <v>5774</v>
      </c>
      <c r="G4">
        <v>18.59</v>
      </c>
      <c r="H4" s="8">
        <v>4885.4750889479801</v>
      </c>
      <c r="I4" s="8">
        <v>0</v>
      </c>
      <c r="J4" s="9">
        <f>(D4*G4)</f>
        <v>33051.662929999999</v>
      </c>
      <c r="K4" s="10">
        <f>(J4+H4+I4-C4)</f>
        <v>34623.138018947982</v>
      </c>
      <c r="L4" s="9">
        <f>(K4/E4)</f>
        <v>9.454707268964496</v>
      </c>
      <c r="M4" s="11">
        <f>(K4/F4)</f>
        <v>5.9963869101052962</v>
      </c>
    </row>
    <row r="5" spans="1:13" x14ac:dyDescent="0.3">
      <c r="A5" s="7" t="s">
        <v>15</v>
      </c>
      <c r="B5">
        <v>2025</v>
      </c>
      <c r="C5">
        <v>9.3829999999999991</v>
      </c>
      <c r="D5">
        <v>10.763</v>
      </c>
      <c r="E5">
        <v>24.792000000000002</v>
      </c>
      <c r="F5">
        <v>29.245999999999999</v>
      </c>
      <c r="G5">
        <v>8.42</v>
      </c>
      <c r="H5" s="8">
        <v>2.0340471769948394</v>
      </c>
      <c r="I5" s="8">
        <v>0</v>
      </c>
      <c r="J5" s="9">
        <f>(D5*G5)</f>
        <v>90.624459999999999</v>
      </c>
      <c r="K5" s="10">
        <f t="shared" ref="K5:K8" si="0">(J5+H5+I5-C5)</f>
        <v>83.27550717699485</v>
      </c>
      <c r="L5" s="9">
        <f>(K5/E5)</f>
        <v>3.3589668916180559</v>
      </c>
      <c r="M5" s="11">
        <f>(K5/F5)</f>
        <v>2.8474152765162706</v>
      </c>
    </row>
    <row r="6" spans="1:13" x14ac:dyDescent="0.3">
      <c r="A6" s="7" t="s">
        <v>16</v>
      </c>
      <c r="B6">
        <v>2025</v>
      </c>
      <c r="C6">
        <v>503.64699999999999</v>
      </c>
      <c r="D6">
        <v>123.084</v>
      </c>
      <c r="E6">
        <v>118.595</v>
      </c>
      <c r="F6">
        <v>228.95500000000001</v>
      </c>
      <c r="G6">
        <v>19.260000000000002</v>
      </c>
      <c r="H6" s="8">
        <v>167.45073441380293</v>
      </c>
      <c r="I6" s="8">
        <v>0</v>
      </c>
      <c r="J6" s="9">
        <f>(D6*G6)</f>
        <v>2370.5978400000004</v>
      </c>
      <c r="K6" s="10">
        <f t="shared" si="0"/>
        <v>2034.4015744138032</v>
      </c>
      <c r="L6" s="9">
        <f>(K6/E6)</f>
        <v>17.154193468643729</v>
      </c>
      <c r="M6" s="11">
        <f>(K6/F6)</f>
        <v>8.8855957476962857</v>
      </c>
    </row>
    <row r="7" spans="1:13" x14ac:dyDescent="0.3">
      <c r="A7" s="7" t="s">
        <v>17</v>
      </c>
      <c r="B7">
        <v>2025</v>
      </c>
      <c r="C7">
        <v>27.49</v>
      </c>
      <c r="D7">
        <v>950.43499999999995</v>
      </c>
      <c r="E7">
        <v>256.89999999999998</v>
      </c>
      <c r="F7">
        <v>739.7</v>
      </c>
      <c r="G7">
        <v>3.95</v>
      </c>
      <c r="H7" s="8">
        <v>987.21068410330156</v>
      </c>
      <c r="I7" s="8">
        <v>0</v>
      </c>
      <c r="J7" s="9">
        <f>(D7*G7)</f>
        <v>3754.2182499999999</v>
      </c>
      <c r="K7" s="10">
        <f t="shared" si="0"/>
        <v>4713.938934103302</v>
      </c>
      <c r="L7" s="9">
        <f>(K7/E7)</f>
        <v>18.349314652017526</v>
      </c>
      <c r="M7" s="11">
        <f>(K7/F7)</f>
        <v>6.3727713047225922</v>
      </c>
    </row>
    <row r="8" spans="1:13" ht="15" thickBot="1" x14ac:dyDescent="0.35">
      <c r="A8" s="12" t="s">
        <v>18</v>
      </c>
      <c r="B8">
        <v>2025</v>
      </c>
      <c r="C8" s="13">
        <v>23.173999999999999</v>
      </c>
      <c r="D8" s="13">
        <v>185.37299999999999</v>
      </c>
      <c r="E8" s="13">
        <v>134.69300000000001</v>
      </c>
      <c r="F8" s="13">
        <v>217.34899999999999</v>
      </c>
      <c r="G8" s="13">
        <v>11.13</v>
      </c>
      <c r="H8" s="14">
        <v>404.38396447463538</v>
      </c>
      <c r="I8" s="14">
        <v>0</v>
      </c>
      <c r="J8" s="15">
        <f>(D8*G8)</f>
        <v>2063.2014899999999</v>
      </c>
      <c r="K8" s="16">
        <f t="shared" si="0"/>
        <v>2444.4114544746353</v>
      </c>
      <c r="L8" s="15">
        <f>(K8/E8)</f>
        <v>18.148021459724227</v>
      </c>
      <c r="M8" s="17">
        <f>(K8/F8)</f>
        <v>11.246481255835709</v>
      </c>
    </row>
    <row r="10" spans="1:13" ht="15" thickBot="1" x14ac:dyDescent="0.35"/>
    <row r="11" spans="1:13" x14ac:dyDescent="0.3">
      <c r="A11" s="54" t="s">
        <v>55</v>
      </c>
      <c r="B11" s="55"/>
      <c r="C11" s="56" t="s">
        <v>19</v>
      </c>
      <c r="D11" s="57"/>
      <c r="E11" s="58"/>
    </row>
    <row r="12" spans="1:13" x14ac:dyDescent="0.3">
      <c r="A12" s="18"/>
      <c r="B12" s="19"/>
      <c r="C12" s="20" t="s">
        <v>20</v>
      </c>
      <c r="D12" s="21" t="s">
        <v>21</v>
      </c>
      <c r="E12" s="22" t="s">
        <v>22</v>
      </c>
      <c r="G12" s="1"/>
      <c r="H12"/>
      <c r="I12"/>
    </row>
    <row r="13" spans="1:13" x14ac:dyDescent="0.3">
      <c r="A13" s="23" t="s">
        <v>23</v>
      </c>
      <c r="B13" s="24">
        <v>145.9</v>
      </c>
      <c r="C13" s="25">
        <f>AVERAGE(L4:L8)</f>
        <v>13.293040748193608</v>
      </c>
      <c r="D13" s="26">
        <f>(C13*B13)</f>
        <v>1939.4546451614474</v>
      </c>
      <c r="E13" s="27">
        <f>D13+$B$15-$B$16</f>
        <v>1402.5546451614473</v>
      </c>
      <c r="G13" s="1"/>
      <c r="H13"/>
      <c r="I13"/>
    </row>
    <row r="14" spans="1:13" x14ac:dyDescent="0.3">
      <c r="A14" s="23" t="s">
        <v>24</v>
      </c>
      <c r="B14" s="24">
        <v>298.7</v>
      </c>
      <c r="C14" s="25">
        <f>AVERAGE(M4:M8)</f>
        <v>7.0697300989752305</v>
      </c>
      <c r="D14" s="26">
        <f>(C14*B14)</f>
        <v>2111.7283805639013</v>
      </c>
      <c r="E14" s="27">
        <f>D14+$B$15-$B$16</f>
        <v>1574.8283805639012</v>
      </c>
      <c r="G14" s="1"/>
      <c r="H14"/>
      <c r="I14"/>
    </row>
    <row r="15" spans="1:13" x14ac:dyDescent="0.3">
      <c r="A15" s="23" t="s">
        <v>4</v>
      </c>
      <c r="B15" s="24">
        <v>525.5</v>
      </c>
      <c r="C15" s="7"/>
      <c r="D15" s="28"/>
      <c r="E15" s="29"/>
      <c r="G15" s="1"/>
      <c r="H15"/>
      <c r="I15"/>
    </row>
    <row r="16" spans="1:13" x14ac:dyDescent="0.3">
      <c r="A16" s="23" t="s">
        <v>25</v>
      </c>
      <c r="B16" s="24">
        <v>1062.4000000000001</v>
      </c>
      <c r="C16" s="7"/>
      <c r="E16" s="30"/>
      <c r="G16" s="1"/>
      <c r="H16"/>
      <c r="I16"/>
    </row>
    <row r="17" spans="1:5" ht="15" thickBot="1" x14ac:dyDescent="0.35">
      <c r="A17" s="31" t="s">
        <v>26</v>
      </c>
      <c r="B17" s="32">
        <v>0</v>
      </c>
      <c r="C17" s="12"/>
      <c r="D17" s="13"/>
      <c r="E17" s="33"/>
    </row>
  </sheetData>
  <mergeCells count="2">
    <mergeCell ref="A11:B11"/>
    <mergeCell ref="C11:E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DCC1-0423-4FDF-B6F0-155EB1EB01E5}">
  <dimension ref="A5:H21"/>
  <sheetViews>
    <sheetView workbookViewId="0">
      <selection activeCell="A17" sqref="A17:B17"/>
    </sheetView>
  </sheetViews>
  <sheetFormatPr defaultRowHeight="14.4" x14ac:dyDescent="0.3"/>
  <cols>
    <col min="1" max="1" width="30.33203125" bestFit="1" customWidth="1"/>
    <col min="2" max="2" width="10" bestFit="1" customWidth="1"/>
    <col min="3" max="3" width="23.88671875" style="35" customWidth="1"/>
    <col min="4" max="4" width="29.109375" style="35" customWidth="1"/>
    <col min="5" max="5" width="26.33203125" style="35" bestFit="1" customWidth="1"/>
    <col min="6" max="6" width="23.21875" bestFit="1" customWidth="1"/>
    <col min="7" max="7" width="12.109375" bestFit="1" customWidth="1"/>
    <col min="8" max="8" width="20.21875" bestFit="1" customWidth="1"/>
  </cols>
  <sheetData>
    <row r="5" spans="1:8" ht="15" thickBot="1" x14ac:dyDescent="0.35"/>
    <row r="6" spans="1:8" x14ac:dyDescent="0.3">
      <c r="A6" s="2" t="s">
        <v>2</v>
      </c>
      <c r="B6" s="3" t="s">
        <v>3</v>
      </c>
      <c r="C6" s="36" t="s">
        <v>0</v>
      </c>
      <c r="D6" s="3" t="s">
        <v>36</v>
      </c>
      <c r="E6" s="36" t="s">
        <v>8</v>
      </c>
      <c r="F6" s="36" t="s">
        <v>31</v>
      </c>
      <c r="G6" s="6" t="s">
        <v>37</v>
      </c>
      <c r="H6" s="40" t="s">
        <v>38</v>
      </c>
    </row>
    <row r="7" spans="1:8" x14ac:dyDescent="0.3">
      <c r="A7" s="7" t="s">
        <v>29</v>
      </c>
      <c r="B7">
        <v>2025</v>
      </c>
      <c r="C7" s="35">
        <v>4.4800000000000004</v>
      </c>
      <c r="D7" s="35">
        <v>8.9700000000000006</v>
      </c>
      <c r="E7" s="35">
        <v>49.22</v>
      </c>
      <c r="F7" s="35">
        <v>2540</v>
      </c>
      <c r="G7" s="11">
        <f>E7/C7</f>
        <v>10.986607142857142</v>
      </c>
      <c r="H7" s="41">
        <f>E7/D7</f>
        <v>5.4871794871794863</v>
      </c>
    </row>
    <row r="8" spans="1:8" x14ac:dyDescent="0.3">
      <c r="A8" s="7" t="s">
        <v>30</v>
      </c>
      <c r="B8">
        <v>2025</v>
      </c>
      <c r="C8" s="35">
        <v>11.38</v>
      </c>
      <c r="D8" s="35">
        <v>34.03</v>
      </c>
      <c r="E8" s="35">
        <v>117.18</v>
      </c>
      <c r="F8" s="35">
        <v>371.22</v>
      </c>
      <c r="G8" s="11">
        <f>E8/C8</f>
        <v>10.29701230228471</v>
      </c>
      <c r="H8" s="41">
        <f>E8/D8</f>
        <v>3.4434322656479579</v>
      </c>
    </row>
    <row r="9" spans="1:8" ht="15" thickBot="1" x14ac:dyDescent="0.35">
      <c r="A9" s="12" t="s">
        <v>32</v>
      </c>
      <c r="B9" s="13">
        <v>2025</v>
      </c>
      <c r="C9" s="37">
        <v>2.87</v>
      </c>
      <c r="D9" s="37">
        <v>6.25</v>
      </c>
      <c r="E9" s="37">
        <v>15.93</v>
      </c>
      <c r="F9" s="37">
        <v>3080</v>
      </c>
      <c r="G9" s="17">
        <f>E9/C9</f>
        <v>5.5505226480836232</v>
      </c>
      <c r="H9" s="42">
        <f>E9/D9</f>
        <v>2.5488</v>
      </c>
    </row>
    <row r="16" spans="1:8" ht="15" thickBot="1" x14ac:dyDescent="0.35"/>
    <row r="17" spans="1:5" x14ac:dyDescent="0.3">
      <c r="A17" s="54" t="s">
        <v>54</v>
      </c>
      <c r="B17" s="55"/>
      <c r="C17" s="56" t="s">
        <v>19</v>
      </c>
      <c r="D17" s="57"/>
      <c r="E17" s="58"/>
    </row>
    <row r="18" spans="1:5" x14ac:dyDescent="0.3">
      <c r="A18" s="18"/>
      <c r="B18" s="19"/>
      <c r="C18" s="21" t="s">
        <v>20</v>
      </c>
      <c r="D18" s="21" t="s">
        <v>1</v>
      </c>
      <c r="E18" s="22" t="s">
        <v>34</v>
      </c>
    </row>
    <row r="19" spans="1:5" x14ac:dyDescent="0.3">
      <c r="A19" s="23" t="s">
        <v>28</v>
      </c>
      <c r="B19" s="24">
        <v>1.64</v>
      </c>
      <c r="C19" s="43">
        <f>AVERAGE(G7:G9)</f>
        <v>8.9447140310751578</v>
      </c>
      <c r="D19" s="43">
        <f>(C19*B19)</f>
        <v>14.669331010963258</v>
      </c>
      <c r="E19" s="44">
        <f>D19*B21</f>
        <v>6307.8123347142009</v>
      </c>
    </row>
    <row r="20" spans="1:5" x14ac:dyDescent="0.3">
      <c r="A20" s="34" t="s">
        <v>35</v>
      </c>
      <c r="B20" s="30">
        <v>4.8899999999999997</v>
      </c>
      <c r="C20" s="43">
        <f>AVERAGE(H7:H9)</f>
        <v>3.8264705842758144</v>
      </c>
      <c r="D20" s="43">
        <f>B20*C20</f>
        <v>18.71144115710873</v>
      </c>
      <c r="E20" s="44">
        <f>D20*B21</f>
        <v>8045.9196975567538</v>
      </c>
    </row>
    <row r="21" spans="1:5" ht="15" thickBot="1" x14ac:dyDescent="0.35">
      <c r="A21" s="31" t="s">
        <v>33</v>
      </c>
      <c r="B21" s="32">
        <v>430</v>
      </c>
      <c r="C21" s="13"/>
      <c r="D21" s="38"/>
      <c r="E21" s="39"/>
    </row>
  </sheetData>
  <mergeCells count="2">
    <mergeCell ref="A17:B17"/>
    <mergeCell ref="C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A68E-BC89-4773-9FDC-21C8D48A6F38}">
  <dimension ref="B2:G12"/>
  <sheetViews>
    <sheetView workbookViewId="0">
      <selection activeCell="B11" sqref="B11"/>
    </sheetView>
  </sheetViews>
  <sheetFormatPr defaultRowHeight="14.4" x14ac:dyDescent="0.3"/>
  <cols>
    <col min="2" max="2" width="28.44140625" bestFit="1" customWidth="1"/>
    <col min="3" max="3" width="12" style="35" customWidth="1"/>
    <col min="4" max="4" width="12" customWidth="1"/>
    <col min="5" max="5" width="14.77734375" style="35" customWidth="1"/>
    <col min="6" max="6" width="29.88671875" style="35" bestFit="1" customWidth="1"/>
    <col min="7" max="7" width="21.33203125" style="35" bestFit="1" customWidth="1"/>
  </cols>
  <sheetData>
    <row r="2" spans="2:7" x14ac:dyDescent="0.3">
      <c r="B2" s="45" t="s">
        <v>42</v>
      </c>
      <c r="C2" s="46" t="s">
        <v>45</v>
      </c>
      <c r="D2" s="45" t="s">
        <v>46</v>
      </c>
      <c r="E2" s="46" t="s">
        <v>43</v>
      </c>
      <c r="F2" s="46" t="s">
        <v>53</v>
      </c>
      <c r="G2" s="46" t="s">
        <v>47</v>
      </c>
    </row>
    <row r="3" spans="2:7" x14ac:dyDescent="0.3">
      <c r="B3" s="47" t="s">
        <v>39</v>
      </c>
      <c r="C3" s="48">
        <v>4900</v>
      </c>
      <c r="D3" s="47">
        <v>700</v>
      </c>
      <c r="E3" s="48">
        <f>C3/D3</f>
        <v>7</v>
      </c>
      <c r="F3" s="51">
        <v>4.8</v>
      </c>
      <c r="G3" s="48">
        <f>E3/F3</f>
        <v>1.4583333333333335</v>
      </c>
    </row>
    <row r="4" spans="2:7" x14ac:dyDescent="0.3">
      <c r="B4" s="47" t="s">
        <v>40</v>
      </c>
      <c r="C4" s="48">
        <v>4380</v>
      </c>
      <c r="D4" s="47">
        <v>600</v>
      </c>
      <c r="E4" s="48">
        <f t="shared" ref="E4:E5" si="0">C4/D4</f>
        <v>7.3</v>
      </c>
      <c r="F4" s="50">
        <v>5.2</v>
      </c>
      <c r="G4" s="48">
        <f t="shared" ref="G4:G5" si="1">E4/F4</f>
        <v>1.4038461538461537</v>
      </c>
    </row>
    <row r="5" spans="2:7" x14ac:dyDescent="0.3">
      <c r="B5" s="47" t="s">
        <v>41</v>
      </c>
      <c r="C5" s="48">
        <v>3040</v>
      </c>
      <c r="D5" s="47">
        <v>400</v>
      </c>
      <c r="E5" s="48">
        <f t="shared" si="0"/>
        <v>7.6</v>
      </c>
      <c r="F5" s="50">
        <v>5.3</v>
      </c>
      <c r="G5" s="48">
        <f t="shared" si="1"/>
        <v>1.4339622641509433</v>
      </c>
    </row>
    <row r="6" spans="2:7" x14ac:dyDescent="0.3">
      <c r="B6" s="45" t="s">
        <v>44</v>
      </c>
      <c r="C6" s="46"/>
      <c r="D6" s="45"/>
      <c r="E6" s="46">
        <f>AVERAGE(E3:E5)</f>
        <v>7.3</v>
      </c>
      <c r="F6" s="52"/>
      <c r="G6" s="46">
        <f>AVERAGE(G3:G5)</f>
        <v>1.4320472504434767</v>
      </c>
    </row>
    <row r="7" spans="2:7" x14ac:dyDescent="0.3">
      <c r="D7" s="35"/>
      <c r="F7"/>
      <c r="G7"/>
    </row>
    <row r="8" spans="2:7" x14ac:dyDescent="0.3">
      <c r="B8" s="59" t="s">
        <v>48</v>
      </c>
      <c r="C8" s="59"/>
      <c r="D8" s="35"/>
      <c r="E8"/>
      <c r="F8"/>
      <c r="G8"/>
    </row>
    <row r="9" spans="2:7" x14ac:dyDescent="0.3">
      <c r="B9" s="49" t="s">
        <v>50</v>
      </c>
      <c r="C9" s="48">
        <v>673.5</v>
      </c>
    </row>
    <row r="10" spans="2:7" x14ac:dyDescent="0.3">
      <c r="B10" s="45" t="s">
        <v>49</v>
      </c>
      <c r="C10" s="48">
        <v>4</v>
      </c>
    </row>
    <row r="11" spans="2:7" x14ac:dyDescent="0.3">
      <c r="B11" s="45" t="s">
        <v>51</v>
      </c>
      <c r="C11" s="46">
        <f>C9*E6</f>
        <v>4916.55</v>
      </c>
    </row>
    <row r="12" spans="2:7" x14ac:dyDescent="0.3">
      <c r="B12" s="45" t="s">
        <v>52</v>
      </c>
      <c r="C12" s="53">
        <f>C9*G6*C10</f>
        <v>3857.9352926947263</v>
      </c>
    </row>
  </sheetData>
  <mergeCells count="1"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Enterprise Value Example</vt:lpstr>
      <vt:lpstr>Equity Value Example</vt:lpstr>
      <vt:lpstr>mini case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 Song</dc:creator>
  <cp:lastModifiedBy>Keke Song</cp:lastModifiedBy>
  <dcterms:created xsi:type="dcterms:W3CDTF">2015-06-05T18:17:20Z</dcterms:created>
  <dcterms:modified xsi:type="dcterms:W3CDTF">2026-04-23T05:10:30Z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524f1f-6176-4541-a517-78364e0657ce_Enabled">
    <vt:lpwstr>true</vt:lpwstr>
  </property>
  <property fmtid="{D5CDD505-2E9C-101B-9397-08002B2CF9AE}" pid="3" name="MSIP_Label_d1524f1f-6176-4541-a517-78364e0657ce_SetDate">
    <vt:lpwstr>2025-03-11T01:35:12Z</vt:lpwstr>
  </property>
  <property fmtid="{D5CDD505-2E9C-101B-9397-08002B2CF9AE}" pid="4" name="MSIP_Label_d1524f1f-6176-4541-a517-78364e0657ce_Method">
    <vt:lpwstr>Standard</vt:lpwstr>
  </property>
  <property fmtid="{D5CDD505-2E9C-101B-9397-08002B2CF9AE}" pid="5" name="MSIP_Label_d1524f1f-6176-4541-a517-78364e0657ce_Name">
    <vt:lpwstr>Internal Use</vt:lpwstr>
  </property>
  <property fmtid="{D5CDD505-2E9C-101B-9397-08002B2CF9AE}" pid="6" name="MSIP_Label_d1524f1f-6176-4541-a517-78364e0657ce_SiteId">
    <vt:lpwstr>f6e78445-b0df-4ce6-b13f-316ef8b33be5</vt:lpwstr>
  </property>
  <property fmtid="{D5CDD505-2E9C-101B-9397-08002B2CF9AE}" pid="7" name="MSIP_Label_d1524f1f-6176-4541-a517-78364e0657ce_ActionId">
    <vt:lpwstr>c12fae3c-a518-4319-9c94-1f9c976a878b</vt:lpwstr>
  </property>
  <property fmtid="{D5CDD505-2E9C-101B-9397-08002B2CF9AE}" pid="8" name="MSIP_Label_d1524f1f-6176-4541-a517-78364e0657ce_ContentBits">
    <vt:lpwstr>0</vt:lpwstr>
  </property>
  <property fmtid="{D5CDD505-2E9C-101B-9397-08002B2CF9AE}" pid="9" name="MSIP_Label_d1524f1f-6176-4541-a517-78364e0657ce_Tag">
    <vt:lpwstr>10, 3, 0, 1</vt:lpwstr>
  </property>
</Properties>
</file>