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ropbox\Teaching\0.1 M&amp;A 2026 term 2\module 5 synergy\"/>
    </mc:Choice>
  </mc:AlternateContent>
  <xr:revisionPtr revIDLastSave="0" documentId="13_ncr:1_{54473791-27E1-4F45-9F12-35EDC4CABDB8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Cost Saving Synergy" sheetId="4" r:id="rId1"/>
    <sheet name="Revenue Enhancement Synergy 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" i="4" l="1"/>
  <c r="J23" i="8"/>
  <c r="J21" i="8"/>
  <c r="J22" i="8" s="1"/>
  <c r="J24" i="8" s="1"/>
  <c r="E9" i="8"/>
  <c r="N20" i="8"/>
  <c r="M20" i="8"/>
  <c r="L20" i="8"/>
  <c r="K20" i="8"/>
  <c r="K21" i="8" s="1"/>
  <c r="I17" i="8"/>
  <c r="I18" i="8" s="1"/>
  <c r="O20" i="8"/>
  <c r="O7" i="8"/>
  <c r="J9" i="8"/>
  <c r="J10" i="8" s="1"/>
  <c r="K8" i="8"/>
  <c r="K9" i="8" s="1"/>
  <c r="N7" i="8"/>
  <c r="M7" i="8"/>
  <c r="L7" i="8"/>
  <c r="K7" i="8"/>
  <c r="I4" i="8"/>
  <c r="I5" i="8" s="1"/>
  <c r="K10" i="8" l="1"/>
  <c r="K11" i="8"/>
  <c r="K22" i="8"/>
  <c r="L21" i="8"/>
  <c r="L8" i="8"/>
  <c r="J11" i="8"/>
  <c r="L9" i="8" l="1"/>
  <c r="M8" i="8"/>
  <c r="L22" i="8"/>
  <c r="M21" i="8"/>
  <c r="K23" i="8"/>
  <c r="K24" i="8" s="1"/>
  <c r="M9" i="8" l="1"/>
  <c r="N8" i="8"/>
  <c r="M22" i="8"/>
  <c r="N21" i="8"/>
  <c r="L23" i="8"/>
  <c r="L24" i="8" s="1"/>
  <c r="L10" i="8"/>
  <c r="L11" i="8" s="1"/>
  <c r="O21" i="8" l="1"/>
  <c r="O22" i="8" s="1"/>
  <c r="N22" i="8"/>
  <c r="M23" i="8"/>
  <c r="M24" i="8" s="1"/>
  <c r="M10" i="8"/>
  <c r="M11" i="8"/>
  <c r="N9" i="8"/>
  <c r="O8" i="8"/>
  <c r="O9" i="8" s="1"/>
  <c r="O10" i="8" l="1"/>
  <c r="O11" i="8" s="1"/>
  <c r="N12" i="8" s="1"/>
  <c r="I13" i="8" s="1"/>
  <c r="N23" i="8"/>
  <c r="N24" i="8" s="1"/>
  <c r="N10" i="8"/>
  <c r="N11" i="8"/>
  <c r="O23" i="8"/>
  <c r="O24" i="8" s="1"/>
  <c r="N25" i="8" s="1"/>
  <c r="I26" i="8" l="1"/>
  <c r="I28" i="8"/>
  <c r="J9" i="4" l="1"/>
  <c r="J10" i="4" s="1"/>
  <c r="K20" i="4"/>
  <c r="L20" i="4"/>
  <c r="M20" i="4"/>
  <c r="N20" i="4"/>
  <c r="K7" i="4"/>
  <c r="L7" i="4"/>
  <c r="M7" i="4"/>
  <c r="N7" i="4"/>
  <c r="O20" i="4"/>
  <c r="O7" i="4" l="1"/>
  <c r="I17" i="4" l="1"/>
  <c r="I18" i="4" s="1"/>
  <c r="I4" i="4"/>
  <c r="I5" i="4" l="1"/>
  <c r="K21" i="4" l="1"/>
  <c r="J22" i="4"/>
  <c r="J23" i="4" s="1"/>
  <c r="K8" i="4"/>
  <c r="K9" i="4" s="1"/>
  <c r="K10" i="4" s="1"/>
  <c r="L21" i="4" l="1"/>
  <c r="K22" i="4"/>
  <c r="K23" i="4" s="1"/>
  <c r="J24" i="4"/>
  <c r="L8" i="4"/>
  <c r="L9" i="4" s="1"/>
  <c r="L10" i="4" s="1"/>
  <c r="J11" i="4"/>
  <c r="L22" i="4" l="1"/>
  <c r="L23" i="4" s="1"/>
  <c r="M21" i="4"/>
  <c r="K24" i="4"/>
  <c r="K11" i="4"/>
  <c r="M8" i="4"/>
  <c r="M9" i="4" s="1"/>
  <c r="M10" i="4" s="1"/>
  <c r="L11" i="4"/>
  <c r="M11" i="4" l="1"/>
  <c r="M22" i="4"/>
  <c r="M23" i="4" s="1"/>
  <c r="N21" i="4"/>
  <c r="L24" i="4"/>
  <c r="N8" i="4"/>
  <c r="N9" i="4" s="1"/>
  <c r="N10" i="4" s="1"/>
  <c r="N11" i="4" l="1"/>
  <c r="M24" i="4"/>
  <c r="O21" i="4"/>
  <c r="O22" i="4" s="1"/>
  <c r="O23" i="4" s="1"/>
  <c r="N22" i="4"/>
  <c r="N23" i="4" s="1"/>
  <c r="O8" i="4"/>
  <c r="O9" i="4" s="1"/>
  <c r="O10" i="4" s="1"/>
  <c r="N24" i="4" l="1"/>
  <c r="O24" i="4"/>
  <c r="N25" i="4" s="1"/>
  <c r="O11" i="4"/>
  <c r="N12" i="4" s="1"/>
  <c r="I13" i="4" s="1"/>
  <c r="I26" i="4" l="1"/>
  <c r="I28" i="4" s="1"/>
</calcChain>
</file>

<file path=xl/sharedStrings.xml><?xml version="1.0" encoding="utf-8"?>
<sst xmlns="http://schemas.openxmlformats.org/spreadsheetml/2006/main" count="132" uniqueCount="47">
  <si>
    <t>Target</t>
  </si>
  <si>
    <t>Equity Beta</t>
  </si>
  <si>
    <t>Cost of Debt</t>
  </si>
  <si>
    <t>Tax Rate</t>
  </si>
  <si>
    <t>Firm Information</t>
  </si>
  <si>
    <t>Item</t>
  </si>
  <si>
    <t>Categories</t>
  </si>
  <si>
    <t>Market Information</t>
  </si>
  <si>
    <t>Risk-free Rate</t>
  </si>
  <si>
    <t>Market-risk Premium</t>
  </si>
  <si>
    <t>Formula</t>
  </si>
  <si>
    <r>
      <t>=R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+β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*MRP</t>
    </r>
  </si>
  <si>
    <r>
      <t>=W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*R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+W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*R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*(1-T</t>
    </r>
    <r>
      <rPr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)</t>
    </r>
  </si>
  <si>
    <t>1.Cost of Equity</t>
  </si>
  <si>
    <t>2.WACC</t>
  </si>
  <si>
    <t>3. Period</t>
  </si>
  <si>
    <t>Cost Saving Synergy Modeling</t>
  </si>
  <si>
    <t>=FCFF/(WACC - g)</t>
  </si>
  <si>
    <t>=PV of Near-Term Cash Flows + PV Terminal Value</t>
  </si>
  <si>
    <t>Target (No Synergies)</t>
  </si>
  <si>
    <t>Target (Cost Saving Synergies)</t>
  </si>
  <si>
    <t>4. EBIT Growth Rate</t>
  </si>
  <si>
    <t>5. EBIT</t>
  </si>
  <si>
    <r>
      <t>6. EBIT*(1-T</t>
    </r>
    <r>
      <rPr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)</t>
    </r>
  </si>
  <si>
    <t>7. CapExp- Dep.&amp; Amort. + ∆NWC</t>
  </si>
  <si>
    <t>8. FCFF</t>
  </si>
  <si>
    <t>9.Terminal Value</t>
  </si>
  <si>
    <t>=Previous EBIT * (1+ Item 5)</t>
  </si>
  <si>
    <r>
      <t>=Item 5 * (1 - T</t>
    </r>
    <r>
      <rPr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)</t>
    </r>
  </si>
  <si>
    <t>=Item 7 - Item8</t>
  </si>
  <si>
    <t>Weight of debt</t>
  </si>
  <si>
    <t>EBIT @ t = 1</t>
  </si>
  <si>
    <t>Net Reinvestment Rate</t>
  </si>
  <si>
    <t>(Standalone)</t>
  </si>
  <si>
    <t>(Synergies included)</t>
  </si>
  <si>
    <t>Revenue Growth Synergy Modeling</t>
  </si>
  <si>
    <t>Near-Term FCFF Assumptions (Yr1 - Yr5)</t>
  </si>
  <si>
    <t xml:space="preserve">EBIT Growth Rate </t>
  </si>
  <si>
    <t>Perpetual FCFF Assumptions (after Yr5)</t>
  </si>
  <si>
    <t xml:space="preserve">Long-term EBIT Growth Rate </t>
  </si>
  <si>
    <t>Value of "Hard Synergies"</t>
  </si>
  <si>
    <t>=With Synergies - Without Synergies</t>
  </si>
  <si>
    <t>Value of  "Soft Synergies"</t>
  </si>
  <si>
    <t>=With Synergies- Without Synergies</t>
  </si>
  <si>
    <t>10. Value of total assets (total firm value)</t>
  </si>
  <si>
    <t xml:space="preserve">=Item 6 * Net Reinvestment Rate </t>
  </si>
  <si>
    <t>=Item 6 - Item7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</si>
</sst>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%"/>
    <numFmt numFmtId="166" formatCode="0.0"/>
    <numFmt numFmtId="167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8" xfId="0" applyBorder="1"/>
    <xf numFmtId="0" fontId="0" fillId="0" borderId="5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left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8" xfId="0" applyBorder="1" applyAlignment="1">
      <alignment horizontal="center"/>
    </xf>
    <xf numFmtId="10" fontId="0" fillId="0" borderId="8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9" fontId="0" fillId="0" borderId="0" xfId="0" applyNumberFormat="1" applyAlignment="1">
      <alignment horizontal="center"/>
    </xf>
    <xf numFmtId="166" fontId="0" fillId="0" borderId="0" xfId="0" applyNumberFormat="1"/>
    <xf numFmtId="9" fontId="0" fillId="0" borderId="8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2" fontId="0" fillId="0" borderId="8" xfId="0" applyNumberFormat="1" applyBorder="1"/>
    <xf numFmtId="2" fontId="0" fillId="0" borderId="15" xfId="0" applyNumberFormat="1" applyBorder="1"/>
    <xf numFmtId="2" fontId="0" fillId="0" borderId="6" xfId="0" applyNumberFormat="1" applyBorder="1"/>
    <xf numFmtId="0" fontId="1" fillId="0" borderId="4" xfId="0" applyFont="1" applyBorder="1" applyAlignment="1">
      <alignment horizontal="left"/>
    </xf>
    <xf numFmtId="0" fontId="1" fillId="0" borderId="5" xfId="0" quotePrefix="1" applyFont="1" applyBorder="1" applyAlignment="1">
      <alignment horizontal="left"/>
    </xf>
    <xf numFmtId="166" fontId="1" fillId="0" borderId="5" xfId="0" applyNumberFormat="1" applyFont="1" applyBorder="1" applyAlignment="1">
      <alignment horizontal="center"/>
    </xf>
    <xf numFmtId="0" fontId="1" fillId="0" borderId="0" xfId="0" quotePrefix="1" applyFont="1"/>
    <xf numFmtId="166" fontId="1" fillId="0" borderId="0" xfId="0" applyNumberFormat="1" applyFont="1" applyAlignment="1">
      <alignment horizontal="center"/>
    </xf>
    <xf numFmtId="0" fontId="1" fillId="0" borderId="0" xfId="0" applyFont="1"/>
    <xf numFmtId="0" fontId="1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14" xfId="0" applyNumberForma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7" fontId="0" fillId="0" borderId="0" xfId="0" applyNumberFormat="1"/>
    <xf numFmtId="0" fontId="1" fillId="0" borderId="7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10" xfId="0" applyBorder="1" applyAlignment="1">
      <alignment vertical="center"/>
    </xf>
    <xf numFmtId="9" fontId="0" fillId="0" borderId="10" xfId="0" applyNumberFormat="1" applyBorder="1" applyAlignment="1">
      <alignment horizontal="center"/>
    </xf>
    <xf numFmtId="0" fontId="1" fillId="0" borderId="0" xfId="0" applyFont="1" applyAlignment="1">
      <alignment vertical="center"/>
    </xf>
    <xf numFmtId="2" fontId="1" fillId="3" borderId="12" xfId="0" applyNumberFormat="1" applyFont="1" applyFill="1" applyBorder="1" applyAlignment="1">
      <alignment horizontal="center"/>
    </xf>
    <xf numFmtId="0" fontId="0" fillId="0" borderId="9" xfId="0" applyBorder="1" applyAlignment="1">
      <alignment horizontal="left"/>
    </xf>
    <xf numFmtId="165" fontId="0" fillId="0" borderId="9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0" fillId="0" borderId="0" xfId="0" quotePrefix="1" applyAlignment="1">
      <alignment horizontal="left"/>
    </xf>
    <xf numFmtId="2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10" fontId="1" fillId="3" borderId="8" xfId="0" applyNumberFormat="1" applyFont="1" applyFill="1" applyBorder="1" applyAlignment="1">
      <alignment horizontal="center"/>
    </xf>
    <xf numFmtId="0" fontId="0" fillId="0" borderId="17" xfId="0" applyBorder="1"/>
    <xf numFmtId="0" fontId="1" fillId="0" borderId="16" xfId="0" applyFont="1" applyBorder="1" applyAlignment="1">
      <alignment horizontal="center"/>
    </xf>
    <xf numFmtId="0" fontId="0" fillId="0" borderId="16" xfId="0" applyBorder="1"/>
    <xf numFmtId="10" fontId="0" fillId="0" borderId="16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10" fontId="0" fillId="0" borderId="8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AF0A3-5797-4401-A2C5-503AC06E7164}">
  <dimension ref="B1:P29"/>
  <sheetViews>
    <sheetView workbookViewId="0">
      <selection activeCell="H23" sqref="H23"/>
    </sheetView>
  </sheetViews>
  <sheetFormatPr defaultRowHeight="14.25" x14ac:dyDescent="0.45"/>
  <cols>
    <col min="2" max="2" width="26" style="9" bestFit="1" customWidth="1"/>
    <col min="3" max="3" width="29.796875" bestFit="1" customWidth="1"/>
    <col min="4" max="4" width="12.86328125" style="7" customWidth="1"/>
    <col min="5" max="6" width="13.53125" customWidth="1"/>
    <col min="7" max="7" width="29" bestFit="1" customWidth="1"/>
    <col min="8" max="8" width="44.19921875" bestFit="1" customWidth="1"/>
    <col min="9" max="9" width="10.53125" customWidth="1"/>
    <col min="10" max="13" width="9.46484375" customWidth="1"/>
    <col min="14" max="14" width="9.46484375" style="66" customWidth="1"/>
    <col min="15" max="15" width="9.46484375" customWidth="1"/>
  </cols>
  <sheetData>
    <row r="1" spans="2:16" ht="14.65" thickBot="1" x14ac:dyDescent="0.5">
      <c r="G1" s="23"/>
      <c r="H1" s="24"/>
      <c r="I1" s="24"/>
      <c r="J1" s="24"/>
      <c r="K1" s="24"/>
      <c r="L1" s="24"/>
      <c r="M1" s="24"/>
      <c r="N1" s="64"/>
      <c r="O1" s="25"/>
    </row>
    <row r="2" spans="2:16" x14ac:dyDescent="0.45">
      <c r="B2" s="68" t="s">
        <v>16</v>
      </c>
      <c r="C2" s="69"/>
      <c r="D2" s="69"/>
      <c r="E2" s="70"/>
      <c r="G2" s="71" t="s">
        <v>19</v>
      </c>
      <c r="H2" s="72"/>
      <c r="I2" s="72"/>
      <c r="J2" s="72"/>
      <c r="K2" s="72"/>
      <c r="L2" s="72"/>
      <c r="M2" s="72"/>
      <c r="N2" s="72"/>
      <c r="O2" s="73"/>
    </row>
    <row r="3" spans="2:16" x14ac:dyDescent="0.45">
      <c r="B3" s="42" t="s">
        <v>6</v>
      </c>
      <c r="C3" s="50" t="s">
        <v>5</v>
      </c>
      <c r="D3" s="61" t="s">
        <v>0</v>
      </c>
      <c r="E3" s="35" t="s">
        <v>0</v>
      </c>
      <c r="F3" s="19"/>
      <c r="G3" s="12" t="s">
        <v>5</v>
      </c>
      <c r="H3" s="13" t="s">
        <v>10</v>
      </c>
      <c r="I3" s="10"/>
      <c r="J3" s="10"/>
      <c r="K3" s="10"/>
      <c r="L3" s="10"/>
      <c r="M3" s="10"/>
      <c r="N3" s="65"/>
      <c r="O3" s="11"/>
    </row>
    <row r="4" spans="2:16" ht="15.75" x14ac:dyDescent="0.55000000000000004">
      <c r="B4" s="42"/>
      <c r="C4" s="50"/>
      <c r="D4" s="61" t="s">
        <v>33</v>
      </c>
      <c r="E4" s="36" t="s">
        <v>34</v>
      </c>
      <c r="F4" s="10"/>
      <c r="G4" s="5" t="s">
        <v>13</v>
      </c>
      <c r="H4" s="57" t="s">
        <v>11</v>
      </c>
      <c r="I4" s="6">
        <f>D14+D5*D15</f>
        <v>9.0000000000000011E-2</v>
      </c>
      <c r="O4" s="1"/>
    </row>
    <row r="5" spans="2:16" ht="15.75" x14ac:dyDescent="0.55000000000000004">
      <c r="B5" s="43" t="s">
        <v>4</v>
      </c>
      <c r="C5" s="3" t="s">
        <v>1</v>
      </c>
      <c r="D5" s="4">
        <v>1</v>
      </c>
      <c r="E5" s="37">
        <v>1</v>
      </c>
      <c r="G5" s="5" t="s">
        <v>14</v>
      </c>
      <c r="H5" s="57" t="s">
        <v>12</v>
      </c>
      <c r="I5" s="6">
        <f>D8*(1-D7)*D6+I4*(1-D8)</f>
        <v>8.450000000000002E-2</v>
      </c>
      <c r="O5" s="1"/>
    </row>
    <row r="6" spans="2:16" x14ac:dyDescent="0.45">
      <c r="B6" s="44"/>
      <c r="C6" s="45" t="s">
        <v>2</v>
      </c>
      <c r="D6" s="46">
        <v>0.05</v>
      </c>
      <c r="E6" s="22">
        <v>0.05</v>
      </c>
      <c r="G6" s="5" t="s">
        <v>15</v>
      </c>
      <c r="H6" s="9"/>
      <c r="I6" s="7">
        <v>0</v>
      </c>
      <c r="J6" s="7">
        <v>1</v>
      </c>
      <c r="K6" s="7">
        <v>2</v>
      </c>
      <c r="L6" s="7">
        <v>3</v>
      </c>
      <c r="M6" s="7">
        <v>4</v>
      </c>
      <c r="N6" s="17">
        <v>5</v>
      </c>
      <c r="O6" s="14">
        <v>6</v>
      </c>
    </row>
    <row r="7" spans="2:16" x14ac:dyDescent="0.45">
      <c r="B7" s="44"/>
      <c r="C7" s="45" t="s">
        <v>3</v>
      </c>
      <c r="D7" s="46">
        <v>0.3</v>
      </c>
      <c r="E7" s="22">
        <v>0.3</v>
      </c>
      <c r="G7" s="5" t="s">
        <v>21</v>
      </c>
      <c r="H7" s="57"/>
      <c r="I7" s="6"/>
      <c r="J7" s="6"/>
      <c r="K7" s="6">
        <f>$D$10</f>
        <v>7.3499999999999996E-2</v>
      </c>
      <c r="L7" s="6">
        <f>$D$10</f>
        <v>7.3499999999999996E-2</v>
      </c>
      <c r="M7" s="6">
        <f>$D$10</f>
        <v>7.3499999999999996E-2</v>
      </c>
      <c r="N7" s="67">
        <f>$D$10</f>
        <v>7.3499999999999996E-2</v>
      </c>
      <c r="O7" s="15">
        <f>D12</f>
        <v>4.8399999999999999E-2</v>
      </c>
    </row>
    <row r="8" spans="2:16" x14ac:dyDescent="0.45">
      <c r="B8" s="44"/>
      <c r="C8" s="45" t="s">
        <v>30</v>
      </c>
      <c r="D8" s="46">
        <v>0.1</v>
      </c>
      <c r="E8" s="22">
        <v>0.1</v>
      </c>
      <c r="G8" s="5" t="s">
        <v>22</v>
      </c>
      <c r="H8" s="57" t="s">
        <v>27</v>
      </c>
      <c r="I8" s="7"/>
      <c r="J8" s="58">
        <v>26.837499999999999</v>
      </c>
      <c r="K8" s="58">
        <f t="shared" ref="K8:O8" si="0">J8*(1+K7)</f>
        <v>28.810056249999995</v>
      </c>
      <c r="L8" s="58">
        <f t="shared" si="0"/>
        <v>30.927595384374992</v>
      </c>
      <c r="M8" s="58">
        <f t="shared" si="0"/>
        <v>33.200773645126553</v>
      </c>
      <c r="N8" s="18">
        <f t="shared" si="0"/>
        <v>35.64103050804335</v>
      </c>
      <c r="O8" s="16">
        <f t="shared" si="0"/>
        <v>37.36605638463265</v>
      </c>
    </row>
    <row r="9" spans="2:16" ht="16.5" customHeight="1" x14ac:dyDescent="0.55000000000000004">
      <c r="B9" s="74" t="s">
        <v>36</v>
      </c>
      <c r="C9" s="3" t="s">
        <v>31</v>
      </c>
      <c r="D9" s="4">
        <v>26.84</v>
      </c>
      <c r="E9" s="51">
        <v>37.57</v>
      </c>
      <c r="G9" s="5" t="s">
        <v>23</v>
      </c>
      <c r="H9" s="57" t="s">
        <v>28</v>
      </c>
      <c r="I9" s="7"/>
      <c r="J9" s="58">
        <f t="shared" ref="J9:O9" si="1">J8*(1-$D$7)</f>
        <v>18.786249999999999</v>
      </c>
      <c r="K9" s="58">
        <f t="shared" si="1"/>
        <v>20.167039374999995</v>
      </c>
      <c r="L9" s="58">
        <f t="shared" si="1"/>
        <v>21.649316769062494</v>
      </c>
      <c r="M9" s="58">
        <f t="shared" si="1"/>
        <v>23.240541551588585</v>
      </c>
      <c r="N9" s="18">
        <f t="shared" si="1"/>
        <v>24.948721355630344</v>
      </c>
      <c r="O9" s="16">
        <f t="shared" si="1"/>
        <v>26.156239469242852</v>
      </c>
    </row>
    <row r="10" spans="2:16" x14ac:dyDescent="0.45">
      <c r="B10" s="75"/>
      <c r="C10" s="9" t="s">
        <v>37</v>
      </c>
      <c r="D10" s="47">
        <v>7.3499999999999996E-2</v>
      </c>
      <c r="E10" s="15">
        <v>7.3499999999999996E-2</v>
      </c>
      <c r="G10" s="5" t="s">
        <v>24</v>
      </c>
      <c r="H10" s="57" t="s">
        <v>45</v>
      </c>
      <c r="I10" s="7"/>
      <c r="J10" s="58">
        <f>$D$11*J9</f>
        <v>13.150374999999999</v>
      </c>
      <c r="K10" s="58">
        <f t="shared" ref="K10:N10" si="2">$D$11*K9</f>
        <v>14.116927562499995</v>
      </c>
      <c r="L10" s="58">
        <f t="shared" si="2"/>
        <v>15.154521738343744</v>
      </c>
      <c r="M10" s="58">
        <f t="shared" si="2"/>
        <v>16.268379086112009</v>
      </c>
      <c r="N10" s="18">
        <f t="shared" si="2"/>
        <v>17.464104948941241</v>
      </c>
      <c r="O10" s="16">
        <f>$E$13*O9</f>
        <v>14.992756463770004</v>
      </c>
      <c r="P10" s="41"/>
    </row>
    <row r="11" spans="2:16" x14ac:dyDescent="0.45">
      <c r="B11" s="76"/>
      <c r="C11" s="48" t="s">
        <v>32</v>
      </c>
      <c r="D11" s="49">
        <v>0.7</v>
      </c>
      <c r="E11" s="38">
        <v>0.7</v>
      </c>
      <c r="G11" s="5" t="s">
        <v>25</v>
      </c>
      <c r="H11" s="57" t="s">
        <v>29</v>
      </c>
      <c r="I11" s="7"/>
      <c r="J11" s="58">
        <f t="shared" ref="J11:O11" si="3">J9-J10</f>
        <v>5.6358750000000004</v>
      </c>
      <c r="K11" s="58">
        <f t="shared" si="3"/>
        <v>6.0501118124999991</v>
      </c>
      <c r="L11" s="58">
        <f t="shared" si="3"/>
        <v>6.4947950307187501</v>
      </c>
      <c r="M11" s="58">
        <f t="shared" si="3"/>
        <v>6.9721624654765755</v>
      </c>
      <c r="N11" s="18">
        <f t="shared" si="3"/>
        <v>7.4846164066891028</v>
      </c>
      <c r="O11" s="16">
        <f t="shared" si="3"/>
        <v>11.163483005472848</v>
      </c>
    </row>
    <row r="12" spans="2:16" x14ac:dyDescent="0.45">
      <c r="B12" s="74" t="s">
        <v>38</v>
      </c>
      <c r="C12" s="52" t="s">
        <v>39</v>
      </c>
      <c r="D12" s="53">
        <v>4.8399999999999999E-2</v>
      </c>
      <c r="E12" s="54">
        <v>4.8399999999999999E-2</v>
      </c>
      <c r="G12" s="5" t="s">
        <v>26</v>
      </c>
      <c r="H12" s="57" t="s">
        <v>17</v>
      </c>
      <c r="I12" s="7"/>
      <c r="J12" s="59"/>
      <c r="K12" s="59"/>
      <c r="L12" s="59"/>
      <c r="M12" s="59"/>
      <c r="N12" s="18">
        <f>O11/(I5-O7)</f>
        <v>309.23775638428924</v>
      </c>
      <c r="O12" s="26"/>
    </row>
    <row r="13" spans="2:16" ht="14.65" thickBot="1" x14ac:dyDescent="0.5">
      <c r="B13" s="76"/>
      <c r="C13" s="48" t="s">
        <v>32</v>
      </c>
      <c r="D13" s="55">
        <v>0.57320000000000004</v>
      </c>
      <c r="E13" s="56">
        <v>0.57320000000000004</v>
      </c>
      <c r="G13" s="29" t="s">
        <v>44</v>
      </c>
      <c r="H13" s="30" t="s">
        <v>18</v>
      </c>
      <c r="I13" s="31">
        <f>J11/(1+I5)^J6+K11/(1+I5)^K6+L11/(1+I5)^L6+M11/(1+I5)^M6+N11/(1+I5)^N6+N12/(1+I5)^N6</f>
        <v>231.59364007423159</v>
      </c>
      <c r="J13" s="8"/>
      <c r="K13" s="8"/>
      <c r="L13" s="8"/>
      <c r="M13" s="8"/>
      <c r="N13" s="27"/>
      <c r="O13" s="28"/>
    </row>
    <row r="14" spans="2:16" ht="15" customHeight="1" thickBot="1" x14ac:dyDescent="0.5">
      <c r="B14" s="39" t="s">
        <v>7</v>
      </c>
      <c r="C14" s="45" t="s">
        <v>8</v>
      </c>
      <c r="D14" s="77">
        <v>0.02</v>
      </c>
      <c r="E14" s="78"/>
    </row>
    <row r="15" spans="2:16" ht="14.65" thickBot="1" x14ac:dyDescent="0.5">
      <c r="B15" s="40"/>
      <c r="C15" s="2" t="s">
        <v>9</v>
      </c>
      <c r="D15" s="79">
        <v>7.0000000000000007E-2</v>
      </c>
      <c r="E15" s="80"/>
      <c r="G15" s="81" t="s">
        <v>20</v>
      </c>
      <c r="H15" s="82"/>
      <c r="I15" s="82"/>
      <c r="J15" s="82"/>
      <c r="K15" s="82"/>
      <c r="L15" s="82"/>
      <c r="M15" s="82"/>
      <c r="N15" s="82"/>
      <c r="O15" s="83"/>
    </row>
    <row r="16" spans="2:16" x14ac:dyDescent="0.45">
      <c r="F16" s="6"/>
      <c r="G16" s="12" t="s">
        <v>5</v>
      </c>
      <c r="H16" s="13" t="s">
        <v>10</v>
      </c>
      <c r="I16" s="10"/>
      <c r="J16" s="10"/>
      <c r="K16" s="10"/>
      <c r="L16" s="10"/>
      <c r="M16" s="10"/>
      <c r="N16" s="65"/>
      <c r="O16" s="11"/>
    </row>
    <row r="17" spans="6:15" ht="15.75" x14ac:dyDescent="0.55000000000000004">
      <c r="F17" s="20"/>
      <c r="G17" s="5" t="s">
        <v>13</v>
      </c>
      <c r="H17" s="57" t="s">
        <v>11</v>
      </c>
      <c r="I17" s="6">
        <f>D14+D15*E5</f>
        <v>9.0000000000000011E-2</v>
      </c>
      <c r="O17" s="1"/>
    </row>
    <row r="18" spans="6:15" ht="15.75" x14ac:dyDescent="0.55000000000000004">
      <c r="G18" s="5" t="s">
        <v>14</v>
      </c>
      <c r="H18" s="57" t="s">
        <v>12</v>
      </c>
      <c r="I18" s="6">
        <f>$E$8*(1-$E$7)*$E$6+I17*(1-$E$8)</f>
        <v>8.450000000000002E-2</v>
      </c>
      <c r="O18" s="1"/>
    </row>
    <row r="19" spans="6:15" x14ac:dyDescent="0.45">
      <c r="G19" s="5" t="s">
        <v>15</v>
      </c>
      <c r="H19" s="9"/>
      <c r="I19" s="7">
        <v>0</v>
      </c>
      <c r="J19" s="7">
        <v>1</v>
      </c>
      <c r="K19" s="7">
        <v>2</v>
      </c>
      <c r="L19" s="7">
        <v>3</v>
      </c>
      <c r="M19" s="7">
        <v>4</v>
      </c>
      <c r="N19" s="17">
        <v>5</v>
      </c>
      <c r="O19" s="14">
        <v>6</v>
      </c>
    </row>
    <row r="20" spans="6:15" x14ac:dyDescent="0.45">
      <c r="G20" s="5" t="s">
        <v>21</v>
      </c>
      <c r="H20" s="57"/>
      <c r="I20" s="6"/>
      <c r="J20" s="6"/>
      <c r="K20" s="6">
        <f>$E$10</f>
        <v>7.3499999999999996E-2</v>
      </c>
      <c r="L20" s="6">
        <f>$E$10</f>
        <v>7.3499999999999996E-2</v>
      </c>
      <c r="M20" s="6">
        <f>$E$10</f>
        <v>7.3499999999999996E-2</v>
      </c>
      <c r="N20" s="67">
        <f>$E$10</f>
        <v>7.3499999999999996E-2</v>
      </c>
      <c r="O20" s="15">
        <f>E12</f>
        <v>4.8399999999999999E-2</v>
      </c>
    </row>
    <row r="21" spans="6:15" x14ac:dyDescent="0.45">
      <c r="G21" s="5" t="s">
        <v>22</v>
      </c>
      <c r="H21" s="57" t="s">
        <v>27</v>
      </c>
      <c r="I21" s="60"/>
      <c r="J21" s="58">
        <f>E9</f>
        <v>37.57</v>
      </c>
      <c r="K21" s="58">
        <f t="shared" ref="K21:O21" si="4">J21*(1+K20)</f>
        <v>40.331394999999993</v>
      </c>
      <c r="L21" s="58">
        <f t="shared" si="4"/>
        <v>43.295752532499989</v>
      </c>
      <c r="M21" s="58">
        <f t="shared" si="4"/>
        <v>46.477990343638737</v>
      </c>
      <c r="N21" s="18">
        <f t="shared" si="4"/>
        <v>49.894122633896181</v>
      </c>
      <c r="O21" s="16">
        <f t="shared" si="4"/>
        <v>52.308998169376757</v>
      </c>
    </row>
    <row r="22" spans="6:15" ht="15.75" x14ac:dyDescent="0.55000000000000004">
      <c r="G22" s="5" t="s">
        <v>23</v>
      </c>
      <c r="H22" s="57" t="s">
        <v>28</v>
      </c>
      <c r="I22" s="7"/>
      <c r="J22" s="58">
        <f t="shared" ref="J22:O22" si="5">J21*(1-$D$7)</f>
        <v>26.298999999999999</v>
      </c>
      <c r="K22" s="58">
        <f t="shared" si="5"/>
        <v>28.231976499999995</v>
      </c>
      <c r="L22" s="58">
        <f t="shared" si="5"/>
        <v>30.307026772749989</v>
      </c>
      <c r="M22" s="58">
        <f t="shared" si="5"/>
        <v>32.534593240547117</v>
      </c>
      <c r="N22" s="18">
        <f t="shared" si="5"/>
        <v>34.925885843727322</v>
      </c>
      <c r="O22" s="16">
        <f t="shared" si="5"/>
        <v>36.616298718563726</v>
      </c>
    </row>
    <row r="23" spans="6:15" x14ac:dyDescent="0.45">
      <c r="G23" s="5" t="s">
        <v>24</v>
      </c>
      <c r="H23" s="57" t="s">
        <v>45</v>
      </c>
      <c r="I23" s="7"/>
      <c r="J23" s="58">
        <f>$E$11*J22</f>
        <v>18.409299999999998</v>
      </c>
      <c r="K23" s="58">
        <f t="shared" ref="K23:N23" si="6">$E$11*K22</f>
        <v>19.762383549999996</v>
      </c>
      <c r="L23" s="58">
        <f t="shared" si="6"/>
        <v>21.21491874092499</v>
      </c>
      <c r="M23" s="58">
        <f t="shared" si="6"/>
        <v>22.774215268382981</v>
      </c>
      <c r="N23" s="18">
        <f t="shared" si="6"/>
        <v>24.448120090609123</v>
      </c>
      <c r="O23" s="16">
        <f>$E$13*O22</f>
        <v>20.98846242548073</v>
      </c>
    </row>
    <row r="24" spans="6:15" x14ac:dyDescent="0.45">
      <c r="G24" s="5" t="s">
        <v>25</v>
      </c>
      <c r="H24" s="57" t="s">
        <v>29</v>
      </c>
      <c r="I24" s="7"/>
      <c r="J24" s="58">
        <f t="shared" ref="J24:O24" si="7">J22-J23</f>
        <v>7.8897000000000013</v>
      </c>
      <c r="K24" s="58">
        <f t="shared" si="7"/>
        <v>8.4695929499999991</v>
      </c>
      <c r="L24" s="58">
        <f t="shared" si="7"/>
        <v>9.0921080318249992</v>
      </c>
      <c r="M24" s="58">
        <f t="shared" si="7"/>
        <v>9.7603779721641359</v>
      </c>
      <c r="N24" s="18">
        <f t="shared" si="7"/>
        <v>10.477765753118199</v>
      </c>
      <c r="O24" s="16">
        <f t="shared" si="7"/>
        <v>15.627836293082996</v>
      </c>
    </row>
    <row r="25" spans="6:15" x14ac:dyDescent="0.45">
      <c r="G25" s="5" t="s">
        <v>26</v>
      </c>
      <c r="H25" s="57" t="s">
        <v>17</v>
      </c>
      <c r="I25" s="7"/>
      <c r="J25" s="59"/>
      <c r="K25" s="59"/>
      <c r="L25" s="59"/>
      <c r="M25" s="59"/>
      <c r="N25" s="18">
        <f>O24/(I18-O20)</f>
        <v>432.90405243997196</v>
      </c>
      <c r="O25" s="26"/>
    </row>
    <row r="26" spans="6:15" ht="14.65" thickBot="1" x14ac:dyDescent="0.5">
      <c r="G26" s="29" t="s">
        <v>44</v>
      </c>
      <c r="H26" s="30" t="s">
        <v>18</v>
      </c>
      <c r="I26" s="31">
        <f>J24/(1+I18)^J19+K24/(1+I18)^K19+L24/(1+I18)^L19+M24/(1+I18)^M19+N24/(1+I18)^N19+N25/(1+I18)^N19</f>
        <v>324.20952240666537</v>
      </c>
      <c r="J26" s="8"/>
      <c r="K26" s="8"/>
      <c r="L26" s="8"/>
      <c r="M26" s="8"/>
      <c r="N26" s="27"/>
      <c r="O26" s="28"/>
    </row>
    <row r="28" spans="6:15" x14ac:dyDescent="0.45">
      <c r="G28" s="13" t="s">
        <v>40</v>
      </c>
      <c r="H28" s="32" t="s">
        <v>41</v>
      </c>
      <c r="I28" s="33">
        <f>I26-I13</f>
        <v>92.615882332433785</v>
      </c>
    </row>
    <row r="29" spans="6:15" x14ac:dyDescent="0.45">
      <c r="G29" s="34"/>
    </row>
  </sheetData>
  <mergeCells count="7">
    <mergeCell ref="B9:B11"/>
    <mergeCell ref="B2:E2"/>
    <mergeCell ref="D14:E14"/>
    <mergeCell ref="D15:E15"/>
    <mergeCell ref="G2:O2"/>
    <mergeCell ref="G15:O15"/>
    <mergeCell ref="B12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926F-204A-489B-9CD4-646B8050AC4B}">
  <dimension ref="B1:P35"/>
  <sheetViews>
    <sheetView tabSelected="1" workbookViewId="0">
      <selection activeCell="G17" sqref="G17:H25"/>
    </sheetView>
  </sheetViews>
  <sheetFormatPr defaultRowHeight="14.25" x14ac:dyDescent="0.45"/>
  <cols>
    <col min="2" max="2" width="26" style="9" bestFit="1" customWidth="1"/>
    <col min="3" max="3" width="29.796875" bestFit="1" customWidth="1"/>
    <col min="4" max="4" width="12.86328125" style="7" customWidth="1"/>
    <col min="5" max="6" width="13.53125" customWidth="1"/>
    <col min="7" max="7" width="29" bestFit="1" customWidth="1"/>
    <col min="8" max="8" width="44.19921875" bestFit="1" customWidth="1"/>
    <col min="9" max="9" width="10.53125" customWidth="1"/>
    <col min="10" max="13" width="9.46484375" customWidth="1"/>
    <col min="14" max="14" width="9.46484375" style="66" customWidth="1"/>
    <col min="15" max="15" width="9.46484375" customWidth="1"/>
  </cols>
  <sheetData>
    <row r="1" spans="2:16" ht="14.65" thickBot="1" x14ac:dyDescent="0.5">
      <c r="G1" s="23"/>
      <c r="H1" s="24"/>
      <c r="I1" s="24"/>
      <c r="J1" s="24"/>
      <c r="K1" s="24"/>
      <c r="L1" s="24"/>
      <c r="M1" s="24"/>
      <c r="N1" s="64"/>
      <c r="O1" s="25"/>
    </row>
    <row r="2" spans="2:16" x14ac:dyDescent="0.45">
      <c r="B2" s="68" t="s">
        <v>35</v>
      </c>
      <c r="C2" s="69"/>
      <c r="D2" s="69"/>
      <c r="E2" s="70"/>
      <c r="G2" s="71" t="s">
        <v>19</v>
      </c>
      <c r="H2" s="72"/>
      <c r="I2" s="72"/>
      <c r="J2" s="72"/>
      <c r="K2" s="72"/>
      <c r="L2" s="72"/>
      <c r="M2" s="72"/>
      <c r="N2" s="72"/>
      <c r="O2" s="73"/>
    </row>
    <row r="3" spans="2:16" x14ac:dyDescent="0.45">
      <c r="B3" s="42" t="s">
        <v>6</v>
      </c>
      <c r="C3" s="50" t="s">
        <v>5</v>
      </c>
      <c r="D3" s="61" t="s">
        <v>0</v>
      </c>
      <c r="E3" s="35" t="s">
        <v>0</v>
      </c>
      <c r="F3" s="19"/>
      <c r="G3" s="12" t="s">
        <v>5</v>
      </c>
      <c r="H3" s="13" t="s">
        <v>10</v>
      </c>
      <c r="I3" s="10"/>
      <c r="J3" s="10"/>
      <c r="K3" s="10"/>
      <c r="L3" s="10"/>
      <c r="M3" s="10"/>
      <c r="N3" s="65"/>
      <c r="O3" s="11"/>
    </row>
    <row r="4" spans="2:16" ht="15.75" x14ac:dyDescent="0.55000000000000004">
      <c r="B4" s="42"/>
      <c r="C4" s="50"/>
      <c r="D4" s="61" t="s">
        <v>33</v>
      </c>
      <c r="E4" s="36" t="s">
        <v>34</v>
      </c>
      <c r="F4" s="10"/>
      <c r="G4" s="5" t="s">
        <v>13</v>
      </c>
      <c r="H4" s="57" t="s">
        <v>11</v>
      </c>
      <c r="I4" s="6">
        <f>D14+D5*D15</f>
        <v>9.0000000000000011E-2</v>
      </c>
      <c r="O4" s="1"/>
    </row>
    <row r="5" spans="2:16" ht="15.75" x14ac:dyDescent="0.55000000000000004">
      <c r="B5" s="43" t="s">
        <v>4</v>
      </c>
      <c r="C5" s="3" t="s">
        <v>1</v>
      </c>
      <c r="D5" s="4">
        <v>1</v>
      </c>
      <c r="E5" s="37">
        <v>1</v>
      </c>
      <c r="G5" s="5" t="s">
        <v>14</v>
      </c>
      <c r="H5" s="57" t="s">
        <v>12</v>
      </c>
      <c r="I5" s="6">
        <f>D8*(1-D7)*D6+I4*(1-D8)</f>
        <v>8.450000000000002E-2</v>
      </c>
      <c r="O5" s="1"/>
    </row>
    <row r="6" spans="2:16" x14ac:dyDescent="0.45">
      <c r="B6" s="44"/>
      <c r="C6" s="45" t="s">
        <v>2</v>
      </c>
      <c r="D6" s="46">
        <v>0.05</v>
      </c>
      <c r="E6" s="22">
        <v>0.05</v>
      </c>
      <c r="G6" s="5" t="s">
        <v>15</v>
      </c>
      <c r="H6" s="9"/>
      <c r="I6" s="7">
        <v>0</v>
      </c>
      <c r="J6" s="7">
        <v>1</v>
      </c>
      <c r="K6" s="7">
        <v>2</v>
      </c>
      <c r="L6" s="7">
        <v>3</v>
      </c>
      <c r="M6" s="7">
        <v>4</v>
      </c>
      <c r="N6" s="17">
        <v>5</v>
      </c>
      <c r="O6" s="14">
        <v>6</v>
      </c>
    </row>
    <row r="7" spans="2:16" x14ac:dyDescent="0.45">
      <c r="B7" s="44"/>
      <c r="C7" s="45" t="s">
        <v>3</v>
      </c>
      <c r="D7" s="46">
        <v>0.3</v>
      </c>
      <c r="E7" s="22">
        <v>0.3</v>
      </c>
      <c r="G7" s="5" t="s">
        <v>21</v>
      </c>
      <c r="H7" s="57"/>
      <c r="I7" s="6"/>
      <c r="J7" s="6"/>
      <c r="K7" s="6">
        <f>$D$10</f>
        <v>7.3499999999999996E-2</v>
      </c>
      <c r="L7" s="6">
        <f>$D$10</f>
        <v>7.3499999999999996E-2</v>
      </c>
      <c r="M7" s="6">
        <f>$D$10</f>
        <v>7.3499999999999996E-2</v>
      </c>
      <c r="N7" s="67">
        <f>$D$10</f>
        <v>7.3499999999999996E-2</v>
      </c>
      <c r="O7" s="15">
        <f>D12</f>
        <v>4.8399999999999999E-2</v>
      </c>
    </row>
    <row r="8" spans="2:16" x14ac:dyDescent="0.45">
      <c r="B8" s="44"/>
      <c r="C8" s="45" t="s">
        <v>30</v>
      </c>
      <c r="D8" s="46">
        <v>0.1</v>
      </c>
      <c r="E8" s="22">
        <v>0.1</v>
      </c>
      <c r="G8" s="5" t="s">
        <v>22</v>
      </c>
      <c r="H8" s="57" t="s">
        <v>27</v>
      </c>
      <c r="I8" s="7"/>
      <c r="J8" s="58">
        <v>26.837499999999999</v>
      </c>
      <c r="K8" s="58">
        <f t="shared" ref="K8:O8" si="0">J8*(1+K7)</f>
        <v>28.810056249999995</v>
      </c>
      <c r="L8" s="58">
        <f t="shared" si="0"/>
        <v>30.927595384374992</v>
      </c>
      <c r="M8" s="58">
        <f t="shared" si="0"/>
        <v>33.200773645126553</v>
      </c>
      <c r="N8" s="18">
        <f t="shared" si="0"/>
        <v>35.64103050804335</v>
      </c>
      <c r="O8" s="16">
        <f t="shared" si="0"/>
        <v>37.36605638463265</v>
      </c>
    </row>
    <row r="9" spans="2:16" ht="16.5" customHeight="1" x14ac:dyDescent="0.55000000000000004">
      <c r="B9" s="74" t="s">
        <v>36</v>
      </c>
      <c r="C9" s="3" t="s">
        <v>31</v>
      </c>
      <c r="D9" s="4">
        <v>26.84</v>
      </c>
      <c r="E9" s="62">
        <f>D9</f>
        <v>26.84</v>
      </c>
      <c r="G9" s="5" t="s">
        <v>23</v>
      </c>
      <c r="H9" s="57" t="s">
        <v>28</v>
      </c>
      <c r="I9" s="7"/>
      <c r="J9" s="58">
        <f t="shared" ref="J9:O9" si="1">J8*(1-$D$7)</f>
        <v>18.786249999999999</v>
      </c>
      <c r="K9" s="58">
        <f t="shared" si="1"/>
        <v>20.167039374999995</v>
      </c>
      <c r="L9" s="58">
        <f t="shared" si="1"/>
        <v>21.649316769062494</v>
      </c>
      <c r="M9" s="58">
        <f t="shared" si="1"/>
        <v>23.240541551588585</v>
      </c>
      <c r="N9" s="18">
        <f t="shared" si="1"/>
        <v>24.948721355630344</v>
      </c>
      <c r="O9" s="16">
        <f t="shared" si="1"/>
        <v>26.156239469242852</v>
      </c>
    </row>
    <row r="10" spans="2:16" x14ac:dyDescent="0.45">
      <c r="B10" s="75"/>
      <c r="C10" s="9" t="s">
        <v>37</v>
      </c>
      <c r="D10" s="47">
        <v>7.3499999999999996E-2</v>
      </c>
      <c r="E10" s="63">
        <v>9.98E-2</v>
      </c>
      <c r="G10" s="5" t="s">
        <v>24</v>
      </c>
      <c r="H10" s="57" t="s">
        <v>45</v>
      </c>
      <c r="I10" s="7"/>
      <c r="J10" s="58">
        <f>$D$11*J9</f>
        <v>13.150374999999999</v>
      </c>
      <c r="K10" s="58">
        <f t="shared" ref="K10:N10" si="2">$D$11*K9</f>
        <v>14.116927562499995</v>
      </c>
      <c r="L10" s="58">
        <f t="shared" si="2"/>
        <v>15.154521738343744</v>
      </c>
      <c r="M10" s="58">
        <f t="shared" si="2"/>
        <v>16.268379086112009</v>
      </c>
      <c r="N10" s="18">
        <f t="shared" si="2"/>
        <v>17.464104948941241</v>
      </c>
      <c r="O10" s="16">
        <f>$E$13*O9</f>
        <v>14.961368976406909</v>
      </c>
      <c r="P10" s="41"/>
    </row>
    <row r="11" spans="2:16" x14ac:dyDescent="0.45">
      <c r="B11" s="76"/>
      <c r="C11" s="48" t="s">
        <v>32</v>
      </c>
      <c r="D11" s="49">
        <v>0.7</v>
      </c>
      <c r="E11" s="38">
        <v>0.7</v>
      </c>
      <c r="G11" s="5" t="s">
        <v>25</v>
      </c>
      <c r="H11" s="57" t="s">
        <v>46</v>
      </c>
      <c r="I11" s="7"/>
      <c r="J11" s="58">
        <f t="shared" ref="J11:O11" si="3">J9-J10</f>
        <v>5.6358750000000004</v>
      </c>
      <c r="K11" s="58">
        <f t="shared" si="3"/>
        <v>6.0501118124999991</v>
      </c>
      <c r="L11" s="58">
        <f t="shared" si="3"/>
        <v>6.4947950307187501</v>
      </c>
      <c r="M11" s="58">
        <f t="shared" si="3"/>
        <v>6.9721624654765755</v>
      </c>
      <c r="N11" s="18">
        <f t="shared" si="3"/>
        <v>7.4846164066891028</v>
      </c>
      <c r="O11" s="16">
        <f t="shared" si="3"/>
        <v>11.194870492835943</v>
      </c>
    </row>
    <row r="12" spans="2:16" x14ac:dyDescent="0.45">
      <c r="B12" s="74" t="s">
        <v>38</v>
      </c>
      <c r="C12" s="52" t="s">
        <v>39</v>
      </c>
      <c r="D12" s="53">
        <v>4.8399999999999999E-2</v>
      </c>
      <c r="E12" s="54">
        <v>4.8399999999999999E-2</v>
      </c>
      <c r="G12" s="5" t="s">
        <v>26</v>
      </c>
      <c r="H12" s="57" t="s">
        <v>17</v>
      </c>
      <c r="I12" s="7"/>
      <c r="J12" s="59"/>
      <c r="K12" s="59"/>
      <c r="L12" s="59"/>
      <c r="M12" s="59"/>
      <c r="N12" s="18">
        <f>O11/(I5-O7)</f>
        <v>310.10721586803146</v>
      </c>
      <c r="O12" s="26"/>
    </row>
    <row r="13" spans="2:16" ht="14.65" thickBot="1" x14ac:dyDescent="0.5">
      <c r="B13" s="76"/>
      <c r="C13" s="48" t="s">
        <v>32</v>
      </c>
      <c r="D13" s="55">
        <v>0.57320000000000004</v>
      </c>
      <c r="E13" s="56">
        <v>0.57199999999999995</v>
      </c>
      <c r="G13" s="29" t="s">
        <v>44</v>
      </c>
      <c r="H13" s="30" t="s">
        <v>18</v>
      </c>
      <c r="I13" s="31">
        <f>J11/(1+I5)^J6+K11/(1+I5)^K6+L11/(1+I5)^L6+M11/(1+I5)^M6+N11/(1+I5)^N6+N12/(1+I5)^N6</f>
        <v>232.1732042958437</v>
      </c>
      <c r="J13" s="8"/>
      <c r="K13" s="8"/>
      <c r="L13" s="8"/>
      <c r="M13" s="8"/>
      <c r="N13" s="27"/>
      <c r="O13" s="28"/>
    </row>
    <row r="14" spans="2:16" ht="15" customHeight="1" thickBot="1" x14ac:dyDescent="0.5">
      <c r="B14" s="39" t="s">
        <v>7</v>
      </c>
      <c r="C14" s="45" t="s">
        <v>8</v>
      </c>
      <c r="D14" s="77">
        <v>0.02</v>
      </c>
      <c r="E14" s="78"/>
    </row>
    <row r="15" spans="2:16" ht="14.65" thickBot="1" x14ac:dyDescent="0.5">
      <c r="B15" s="40"/>
      <c r="C15" s="2" t="s">
        <v>9</v>
      </c>
      <c r="D15" s="79">
        <v>7.0000000000000007E-2</v>
      </c>
      <c r="E15" s="80"/>
      <c r="G15" s="81" t="s">
        <v>20</v>
      </c>
      <c r="H15" s="82"/>
      <c r="I15" s="82"/>
      <c r="J15" s="82"/>
      <c r="K15" s="82"/>
      <c r="L15" s="82"/>
      <c r="M15" s="82"/>
      <c r="N15" s="82"/>
      <c r="O15" s="83"/>
    </row>
    <row r="16" spans="2:16" x14ac:dyDescent="0.45">
      <c r="F16" s="6"/>
      <c r="G16" s="12" t="s">
        <v>5</v>
      </c>
      <c r="H16" s="13" t="s">
        <v>10</v>
      </c>
      <c r="I16" s="10"/>
      <c r="J16" s="10"/>
      <c r="K16" s="10"/>
      <c r="L16" s="10"/>
      <c r="M16" s="10"/>
      <c r="N16" s="65"/>
      <c r="O16" s="11"/>
    </row>
    <row r="17" spans="6:15" ht="15.75" x14ac:dyDescent="0.55000000000000004">
      <c r="F17" s="20"/>
      <c r="G17" s="5" t="s">
        <v>13</v>
      </c>
      <c r="H17" s="57" t="s">
        <v>11</v>
      </c>
      <c r="I17" s="6">
        <f>D14+D15*E5</f>
        <v>9.0000000000000011E-2</v>
      </c>
      <c r="O17" s="1"/>
    </row>
    <row r="18" spans="6:15" ht="15.75" x14ac:dyDescent="0.55000000000000004">
      <c r="G18" s="5" t="s">
        <v>14</v>
      </c>
      <c r="H18" s="57" t="s">
        <v>12</v>
      </c>
      <c r="I18" s="6">
        <f>$E$8*(1-$E$7)*$E$6+I17*(1-$E$8)</f>
        <v>8.450000000000002E-2</v>
      </c>
      <c r="O18" s="1"/>
    </row>
    <row r="19" spans="6:15" x14ac:dyDescent="0.45">
      <c r="G19" s="5" t="s">
        <v>15</v>
      </c>
      <c r="H19" s="9"/>
      <c r="I19" s="7">
        <v>0</v>
      </c>
      <c r="J19" s="7">
        <v>1</v>
      </c>
      <c r="K19" s="7">
        <v>2</v>
      </c>
      <c r="L19" s="7">
        <v>3</v>
      </c>
      <c r="M19" s="7">
        <v>4</v>
      </c>
      <c r="N19" s="17">
        <v>5</v>
      </c>
      <c r="O19" s="14">
        <v>6</v>
      </c>
    </row>
    <row r="20" spans="6:15" x14ac:dyDescent="0.45">
      <c r="G20" s="5" t="s">
        <v>21</v>
      </c>
      <c r="H20" s="57"/>
      <c r="I20" s="6"/>
      <c r="J20" s="6"/>
      <c r="K20" s="6">
        <f>$E$10</f>
        <v>9.98E-2</v>
      </c>
      <c r="L20" s="6">
        <f>$E$10</f>
        <v>9.98E-2</v>
      </c>
      <c r="M20" s="6">
        <f>$E$10</f>
        <v>9.98E-2</v>
      </c>
      <c r="N20" s="67">
        <f>$E$10</f>
        <v>9.98E-2</v>
      </c>
      <c r="O20" s="15">
        <f>E12</f>
        <v>4.8399999999999999E-2</v>
      </c>
    </row>
    <row r="21" spans="6:15" x14ac:dyDescent="0.45">
      <c r="G21" s="5" t="s">
        <v>22</v>
      </c>
      <c r="H21" s="57" t="s">
        <v>27</v>
      </c>
      <c r="I21" s="60"/>
      <c r="J21" s="58">
        <f>E9</f>
        <v>26.84</v>
      </c>
      <c r="K21" s="58">
        <f t="shared" ref="K21:O21" si="4">J21*(1+K20)</f>
        <v>29.518632000000004</v>
      </c>
      <c r="L21" s="58">
        <f t="shared" si="4"/>
        <v>32.464591473600009</v>
      </c>
      <c r="M21" s="58">
        <f t="shared" si="4"/>
        <v>35.704557702665291</v>
      </c>
      <c r="N21" s="18">
        <f t="shared" si="4"/>
        <v>39.267872561391293</v>
      </c>
      <c r="O21" s="16">
        <f t="shared" si="4"/>
        <v>41.168437593362633</v>
      </c>
    </row>
    <row r="22" spans="6:15" ht="15.75" x14ac:dyDescent="0.55000000000000004">
      <c r="G22" s="5" t="s">
        <v>23</v>
      </c>
      <c r="H22" s="57" t="s">
        <v>28</v>
      </c>
      <c r="I22" s="7"/>
      <c r="J22" s="58">
        <f t="shared" ref="J22:O22" si="5">J21*(1-$D$7)</f>
        <v>18.788</v>
      </c>
      <c r="K22" s="58">
        <f t="shared" si="5"/>
        <v>20.663042400000002</v>
      </c>
      <c r="L22" s="58">
        <f t="shared" si="5"/>
        <v>22.725214031520004</v>
      </c>
      <c r="M22" s="58">
        <f t="shared" si="5"/>
        <v>24.993190391865703</v>
      </c>
      <c r="N22" s="18">
        <f t="shared" si="5"/>
        <v>27.487510792973904</v>
      </c>
      <c r="O22" s="16">
        <f t="shared" si="5"/>
        <v>28.817906315353842</v>
      </c>
    </row>
    <row r="23" spans="6:15" x14ac:dyDescent="0.45">
      <c r="G23" s="5" t="s">
        <v>24</v>
      </c>
      <c r="H23" s="57" t="s">
        <v>45</v>
      </c>
      <c r="I23" s="7"/>
      <c r="J23" s="58">
        <f>$E$11*J22</f>
        <v>13.1516</v>
      </c>
      <c r="K23" s="58">
        <f t="shared" ref="K23:N23" si="6">$E$11*K22</f>
        <v>14.464129680000001</v>
      </c>
      <c r="L23" s="58">
        <f t="shared" si="6"/>
        <v>15.907649822064002</v>
      </c>
      <c r="M23" s="58">
        <f t="shared" si="6"/>
        <v>17.495233274305992</v>
      </c>
      <c r="N23" s="18">
        <f t="shared" si="6"/>
        <v>19.241257555081731</v>
      </c>
      <c r="O23" s="16">
        <f>$E$13*O22</f>
        <v>16.483842412382398</v>
      </c>
    </row>
    <row r="24" spans="6:15" x14ac:dyDescent="0.45">
      <c r="G24" s="5" t="s">
        <v>25</v>
      </c>
      <c r="H24" s="57" t="s">
        <v>46</v>
      </c>
      <c r="I24" s="7"/>
      <c r="J24" s="58">
        <f t="shared" ref="J24:O24" si="7">J22-J23</f>
        <v>5.6364000000000001</v>
      </c>
      <c r="K24" s="58">
        <f t="shared" si="7"/>
        <v>6.1989127200000009</v>
      </c>
      <c r="L24" s="58">
        <f t="shared" si="7"/>
        <v>6.8175642094560018</v>
      </c>
      <c r="M24" s="58">
        <f t="shared" si="7"/>
        <v>7.4979571175597108</v>
      </c>
      <c r="N24" s="18">
        <f t="shared" si="7"/>
        <v>8.2462532378921729</v>
      </c>
      <c r="O24" s="16">
        <f t="shared" si="7"/>
        <v>12.334063902971444</v>
      </c>
    </row>
    <row r="25" spans="6:15" x14ac:dyDescent="0.45">
      <c r="G25" s="5" t="s">
        <v>26</v>
      </c>
      <c r="H25" s="57" t="s">
        <v>17</v>
      </c>
      <c r="I25" s="7"/>
      <c r="J25" s="59"/>
      <c r="K25" s="59"/>
      <c r="L25" s="59"/>
      <c r="M25" s="59"/>
      <c r="N25" s="18">
        <f>O24/(I18-O20)</f>
        <v>341.6638200269096</v>
      </c>
      <c r="O25" s="26"/>
    </row>
    <row r="26" spans="6:15" ht="14.65" thickBot="1" x14ac:dyDescent="0.5">
      <c r="G26" s="29" t="s">
        <v>44</v>
      </c>
      <c r="H26" s="30" t="s">
        <v>18</v>
      </c>
      <c r="I26" s="31">
        <f>J24/(1+I18)^J19+K24/(1+I18)^K19+L24/(1+I18)^L19+M24/(1+I18)^M19+N24/(1+I18)^N19+N25/(1+I18)^N19</f>
        <v>254.47604309151572</v>
      </c>
      <c r="J26" s="8"/>
      <c r="K26" s="8"/>
      <c r="L26" s="8"/>
      <c r="M26" s="8"/>
      <c r="N26" s="27"/>
      <c r="O26" s="28"/>
    </row>
    <row r="28" spans="6:15" x14ac:dyDescent="0.45">
      <c r="G28" s="13" t="s">
        <v>42</v>
      </c>
      <c r="H28" s="32" t="s">
        <v>43</v>
      </c>
      <c r="I28" s="33">
        <f>I26-I13</f>
        <v>22.302838795672017</v>
      </c>
    </row>
    <row r="29" spans="6:15" x14ac:dyDescent="0.45">
      <c r="G29" s="34"/>
    </row>
    <row r="35" spans="8:8" x14ac:dyDescent="0.45">
      <c r="H35" s="21"/>
    </row>
  </sheetData>
  <mergeCells count="7">
    <mergeCell ref="B2:E2"/>
    <mergeCell ref="G2:O2"/>
    <mergeCell ref="B9:B11"/>
    <mergeCell ref="D14:E14"/>
    <mergeCell ref="D15:E15"/>
    <mergeCell ref="G15:O15"/>
    <mergeCell ref="B12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 Saving Synergy</vt:lpstr>
      <vt:lpstr>Revenue Enhancement Synergy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Keke Song</dc:creator>
  <cp:lastModifiedBy>Keke Song</cp:lastModifiedBy>
  <dcterms:created xsi:type="dcterms:W3CDTF">2015-06-05T18:17:20Z</dcterms:created>
  <dcterms:modified xsi:type="dcterms:W3CDTF">2026-05-14T12:34:16Z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524f1f-6176-4541-a517-78364e0657ce_Enabled">
    <vt:lpwstr>true</vt:lpwstr>
  </property>
  <property fmtid="{D5CDD505-2E9C-101B-9397-08002B2CF9AE}" pid="3" name="MSIP_Label_d1524f1f-6176-4541-a517-78364e0657ce_SetDate">
    <vt:lpwstr>2025-05-05T00:20:26Z</vt:lpwstr>
  </property>
  <property fmtid="{D5CDD505-2E9C-101B-9397-08002B2CF9AE}" pid="4" name="MSIP_Label_d1524f1f-6176-4541-a517-78364e0657ce_Method">
    <vt:lpwstr>Standard</vt:lpwstr>
  </property>
  <property fmtid="{D5CDD505-2E9C-101B-9397-08002B2CF9AE}" pid="5" name="MSIP_Label_d1524f1f-6176-4541-a517-78364e0657ce_Name">
    <vt:lpwstr>Internal Use</vt:lpwstr>
  </property>
  <property fmtid="{D5CDD505-2E9C-101B-9397-08002B2CF9AE}" pid="6" name="MSIP_Label_d1524f1f-6176-4541-a517-78364e0657ce_SiteId">
    <vt:lpwstr>f6e78445-b0df-4ce6-b13f-316ef8b33be5</vt:lpwstr>
  </property>
  <property fmtid="{D5CDD505-2E9C-101B-9397-08002B2CF9AE}" pid="7" name="MSIP_Label_d1524f1f-6176-4541-a517-78364e0657ce_ActionId">
    <vt:lpwstr>6378528b-cf77-48d5-b6af-0dd26344ac3b</vt:lpwstr>
  </property>
  <property fmtid="{D5CDD505-2E9C-101B-9397-08002B2CF9AE}" pid="8" name="MSIP_Label_d1524f1f-6176-4541-a517-78364e0657ce_ContentBits">
    <vt:lpwstr>0</vt:lpwstr>
  </property>
  <property fmtid="{D5CDD505-2E9C-101B-9397-08002B2CF9AE}" pid="9" name="MSIP_Label_d1524f1f-6176-4541-a517-78364e0657ce_Tag">
    <vt:lpwstr>10, 3, 0, 1</vt:lpwstr>
  </property>
</Properties>
</file>